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00851dc58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Data" sheetId="1" r:id="R3f16f772f6cf43aa"/>
    <x:sheet xmlns:r="http://schemas.openxmlformats.org/officeDocument/2006/relationships" name="Product_Master" sheetId="2" r:id="Rf7f3287530404c2b"/>
    <x:sheet xmlns:r="http://schemas.openxmlformats.org/officeDocument/2006/relationships" name="Supplier_Master" sheetId="3" r:id="R9a7c3d287c2046ee"/>
    <x:sheet xmlns:r="http://schemas.openxmlformats.org/officeDocument/2006/relationships" name="Practice_Tasks" sheetId="4" r:id="R935e507306f84a2f"/>
    <x:sheet xmlns:r="http://schemas.openxmlformats.org/officeDocument/2006/relationships" name="Answer_Check" sheetId="5" r:id="R999eb51e0aef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$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e9f0ab235471d" /><Relationship Type="http://schemas.openxmlformats.org/officeDocument/2006/relationships/theme" Target="/xl/theme/theme1.xml" Id="Re9965e6b5b2e4fe3" /><Relationship Type="http://schemas.openxmlformats.org/officeDocument/2006/relationships/sharedStrings" Target="/xl/sharedStrings.xml" Id="R43ad8c11f4fa401f" /><Relationship Type="http://schemas.openxmlformats.org/officeDocument/2006/relationships/worksheet" Target="/xl/worksheets/sheet1.xml" Id="R3f16f772f6cf43aa" /><Relationship Type="http://schemas.openxmlformats.org/officeDocument/2006/relationships/worksheet" Target="/xl/worksheets/sheet2.xml" Id="Rf7f3287530404c2b" /><Relationship Type="http://schemas.openxmlformats.org/officeDocument/2006/relationships/worksheet" Target="/xl/worksheets/sheet3.xml" Id="R9a7c3d287c2046ee" /><Relationship Type="http://schemas.openxmlformats.org/officeDocument/2006/relationships/worksheet" Target="/xl/worksheets/sheet4.xml" Id="R935e507306f84a2f" /><Relationship Type="http://schemas.openxmlformats.org/officeDocument/2006/relationships/worksheet" Target="/xl/worksheets/sheet5.xml" Id="R999eb51e0aef48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631753170746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PO Value by Supplier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PO Value</c:v>
          </c:tx>
          <c:cat>
            <c:strRef>
              <c:f>'Answer_Check'!$D$2:$D$7</c:f>
              <c:strCache>
                <c:ptCount val="0"/>
              </c:strCache>
            </c:strRef>
          </c:cat>
          <c:val>
            <c:numRef>
              <c:f>'Answer_Check'!$E$2:$E$7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6317531707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OData" displayName="POData" ref="A1:U61" headerRowCount="1">
  <x:tableColumns count="21">
    <x:tableColumn id="1" name="PO Number"/>
    <x:tableColumn id="2" name="Supplier"/>
    <x:tableColumn id="3" name="SKU"/>
    <x:tableColumn id="4" name="Product"/>
    <x:tableColumn id="5" name="Brand"/>
    <x:tableColumn id="6" name="Category"/>
    <x:tableColumn id="7" name="Order Qty"/>
    <x:tableColumn id="8" name="Received Qty"/>
    <x:tableColumn id="9" name="Unit Cost"/>
    <x:tableColumn id="10" name="PO Date"/>
    <x:tableColumn id="11" name="Original ETA"/>
    <x:tableColumn id="12" name="Current ETA"/>
    <x:tableColumn id="13" name="Status"/>
    <x:tableColumn id="14" name="Country"/>
    <x:tableColumn id="15" name="Freight Partner"/>
    <x:tableColumn id="16" name="Supplier Confirmation"/>
    <x:tableColumn id="17" name="PO Value"/>
    <x:tableColumn id="18" name="Remaining Qty"/>
    <x:tableColumn id="19" name="Delay Days"/>
    <x:tableColumn id="20" name="Delay Status"/>
    <x:tableColumn id="21" name="Month"/>
  </x:tableColumns>
  <x:tableStyleInfo name="TableStyleMedium2" showRowStripes="1"/>
</x:table>
</file>

<file path=xl/tables/table2.xml><?xml version="1.0" encoding="utf-8"?>
<x:table xmlns:x="http://schemas.openxmlformats.org/spreadsheetml/2006/main" id="1" name="ProductMaster" displayName="ProductMaster" ref="A1:G13" headerRowCount="1">
  <x:tableColumns count="7">
    <x:tableColumn id="1" name="SKU"/>
    <x:tableColumn id="2" name="Product"/>
    <x:tableColumn id="3" name="Brand"/>
    <x:tableColumn id="4" name="Category"/>
    <x:tableColumn id="5" name="Unit Cost"/>
    <x:tableColumn id="6" name="Reorder Point"/>
    <x:tableColumn id="7" name="Lead Time Days"/>
  </x:tableColumns>
  <x:tableStyleInfo name="TableStyleMedium2" showRowStripes="1"/>
</x:table>
</file>

<file path=xl/tables/table3.xml><?xml version="1.0" encoding="utf-8"?>
<x:table xmlns:x="http://schemas.openxmlformats.org/spreadsheetml/2006/main" id="2" name="SupplierMaster" displayName="SupplierMaster" ref="A1:E7" headerRowCount="1">
  <x:tableColumns count="5">
    <x:tableColumn id="1" name="Supplier"/>
    <x:tableColumn id="2" name="Country"/>
    <x:tableColumn id="3" name="Freight Partner"/>
    <x:tableColumn id="4" name="Payment Terms"/>
    <x:tableColumn id="5" name="Supplier Rating"/>
  </x:tableColumns>
  <x:tableStyleInfo name="TableStyleMedium2" showRowStripes="1"/>
</x:table>
</file>

<file path=xl/tables/table4.xml><?xml version="1.0" encoding="utf-8"?>
<x:table xmlns:x="http://schemas.openxmlformats.org/spreadsheetml/2006/main" id="4" name="SupplierSummary" displayName="SupplierSummary" ref="D1:H7" headerRowCount="1">
  <x:tableColumns count="5">
    <x:tableColumn id="1" name="Supplier"/>
    <x:tableColumn id="2" name="Total PO Value"/>
    <x:tableColumn id="3" name="Open PO Count"/>
    <x:tableColumn id="4" name="Delayed PO Count"/>
    <x:tableColumn id="5" name="Remaining Q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e3d389d8a4e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b2b4200375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853f5225d9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a875eafa76c48eb" /><Relationship Type="http://schemas.openxmlformats.org/officeDocument/2006/relationships/table" Target="/xl/tables/table4.xml" Id="R6c6c8a11a331446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6" t="str">
        <x:v>PO Number</x:v>
      </x:c>
      <x:c r="B1" s="6" t="str">
        <x:v>Supplier</x:v>
      </x:c>
      <x:c r="C1" s="6" t="str">
        <x:v>SKU</x:v>
      </x:c>
      <x:c r="D1" s="6" t="str">
        <x:v>Product</x:v>
      </x:c>
      <x:c r="E1" s="6" t="str">
        <x:v>Brand</x:v>
      </x:c>
      <x:c r="F1" s="6" t="str">
        <x:v>Category</x:v>
      </x:c>
      <x:c r="G1" s="6" t="str">
        <x:v>Order Qty</x:v>
      </x:c>
      <x:c r="H1" s="6" t="str">
        <x:v>Received Qty</x:v>
      </x:c>
      <x:c r="I1" s="14" t="str">
        <x:v>Unit Cost</x:v>
      </x:c>
      <x:c r="J1" s="12" t="str">
        <x:v>PO Date</x:v>
      </x:c>
      <x:c r="K1" s="12" t="str">
        <x:v>Original ETA</x:v>
      </x:c>
      <x:c r="L1" s="12" t="str">
        <x:v>Current ETA</x:v>
      </x:c>
      <x:c r="M1" s="6" t="str">
        <x:v>Status</x:v>
      </x:c>
      <x:c r="N1" s="6" t="str">
        <x:v>Country</x:v>
      </x:c>
      <x:c r="O1" s="6" t="str">
        <x:v>Freight Partner</x:v>
      </x:c>
      <x:c r="P1" s="6" t="str">
        <x:v>Supplier Confirmation</x:v>
      </x:c>
      <x:c r="Q1" s="14" t="str">
        <x:v>PO Value</x:v>
      </x:c>
      <x:c r="R1" s="6" t="str">
        <x:v>Remaining Qty</x:v>
      </x:c>
      <x:c r="S1" s="6" t="str">
        <x:v>Delay Days</x:v>
      </x:c>
      <x:c r="T1" s="6" t="str">
        <x:v>Delay Status</x:v>
      </x:c>
      <x:c r="U1" s="6" t="str">
        <x:v>Month</x:v>
      </x:c>
    </x:row>
    <x:row r="2">
      <x:c r="A2" t="str">
        <x:v>PO1001</x:v>
      </x:c>
      <x:c r="B2" t="str">
        <x:v>Pacific Outdoor Supply</x:v>
      </x:c>
      <x:c r="C2" t="str">
        <x:v>SKU1011</x:v>
      </x:c>
      <x:c r="D2" t="str">
        <x:v>Camp Pillow</x:v>
      </x:c>
      <x:c r="E2" t="str">
        <x:v>Rumpl</x:v>
      </x:c>
      <x:c r="F2" t="str">
        <x:v>Outdoor</x:v>
      </x:c>
      <x:c r="G2" t="n">
        <x:v>150</x:v>
      </x:c>
      <x:c r="H2" t="n">
        <x:v>0</x:v>
      </x:c>
      <x:c r="I2" t="n">
        <x:v>21.3</x:v>
      </x:c>
      <x:c r="J2" t="n">
        <x:v>46144</x:v>
      </x:c>
      <x:c r="K2" t="n">
        <x:v>46195</x:v>
      </x:c>
      <x:c r="L2" t="n">
        <x:v>46199</x:v>
      </x:c>
      <x:c r="M2" t="str">
        <x:v>Open</x:v>
      </x:c>
      <x:c r="N2" t="str">
        <x:v>China</x:v>
      </x:c>
      <x:c r="O2" t="str">
        <x:v>DHL Global Forwarding</x:v>
      </x:c>
      <x:c r="P2" t="str">
        <x:v>Confirmed</x:v>
      </x:c>
      <x:c r="Q2" t="n">
        <x:f>G2*I2</x:f>
        <x:v>3195</x:v>
      </x:c>
      <x:c r="R2" t="n">
        <x:f>G2-H2</x:f>
        <x:v>150</x:v>
      </x:c>
      <x:c r="S2" t="n">
        <x:f>MAX(0,L2-K2)</x:f>
        <x:v>4</x:v>
      </x:c>
      <x:c r="T2" t="str">
        <x:f>IF(AND(M2&lt;&gt;"Received",L2&lt;TODAY()),"Delayed",IF(S2&gt;0,"ETA Changed","On Track"))</x:f>
        <x:v>ETA Changed</x:v>
      </x:c>
      <x:c r="U2" t="str">
        <x:f>TEXT(J2,"mmm-yyyy")</x:f>
        <x:v>May-2026</x:v>
      </x:c>
    </x:row>
    <x:row r="3">
      <x:c r="A3" t="str">
        <x:v>PO1002</x:v>
      </x:c>
      <x:c r="B3" t="str">
        <x:v>Pacific Outdoor Supply</x:v>
      </x:c>
      <x:c r="C3" t="str">
        <x:v>SKU1009</x:v>
      </x:c>
      <x:c r="D3" t="str">
        <x:v>Rain Jacket</x:v>
      </x:c>
      <x:c r="E3" t="str">
        <x:v>Cotopaxi</x:v>
      </x:c>
      <x:c r="F3" t="str">
        <x:v>Apparel</x:v>
      </x:c>
      <x:c r="G3" t="n">
        <x:v>80</x:v>
      </x:c>
      <x:c r="H3" t="n">
        <x:v>0</x:v>
      </x:c>
      <x:c r="I3" t="n">
        <x:v>68</x:v>
      </x:c>
      <x:c r="J3" t="n">
        <x:v>46180</x:v>
      </x:c>
      <x:c r="K3" t="n">
        <x:v>46236</x:v>
      </x:c>
      <x:c r="L3" t="n">
        <x:v>46233</x:v>
      </x:c>
      <x:c r="M3" t="str">
        <x:v>Open</x:v>
      </x:c>
      <x:c r="N3" t="str">
        <x:v>China</x:v>
      </x:c>
      <x:c r="O3" t="str">
        <x:v>DHL Global Forwarding</x:v>
      </x:c>
      <x:c r="P3" t="str">
        <x:v>Confirmed</x:v>
      </x:c>
      <x:c r="Q3" t="n">
        <x:f>G3*I3</x:f>
        <x:v>5440</x:v>
      </x:c>
      <x:c r="R3" t="n">
        <x:f>G3-H3</x:f>
        <x:v>80</x:v>
      </x:c>
      <x:c r="S3" t="n">
        <x:f>MAX(0,L3-K3)</x:f>
        <x:v>0</x:v>
      </x:c>
      <x:c r="T3" t="str">
        <x:f>IF(AND(M3&lt;&gt;"Received",L3&lt;TODAY()),"Delayed",IF(S3&gt;0,"ETA Changed","On Track"))</x:f>
        <x:v>On Track</x:v>
      </x:c>
      <x:c r="U3" t="str">
        <x:f>TEXT(J3,"mmm-yyyy")</x:f>
        <x:v>Jun-2026</x:v>
      </x:c>
    </x:row>
    <x:row r="4">
      <x:c r="A4" t="str">
        <x:v>PO1003</x:v>
      </x:c>
      <x:c r="B4" t="str">
        <x:v>Summit Gear Manufacturing</x:v>
      </x:c>
      <x:c r="C4" t="str">
        <x:v>SKU1001</x:v>
      </x:c>
      <x:c r="D4" t="str">
        <x:v>Hydro Bottle 591ml</x:v>
      </x:c>
      <x:c r="E4" t="str">
        <x:v>Hydro Flask</x:v>
      </x:c>
      <x:c r="F4" t="str">
        <x:v>Drinkware</x:v>
      </x:c>
      <x:c r="G4" t="n">
        <x:v>150</x:v>
      </x:c>
      <x:c r="H4" t="n">
        <x:v>75</x:v>
      </x:c>
      <x:c r="I4" t="n">
        <x:v>18.5</x:v>
      </x:c>
      <x:c r="J4" t="n">
        <x:v>46155</x:v>
      </x:c>
      <x:c r="K4" t="n">
        <x:v>46191</x:v>
      </x:c>
      <x:c r="L4" t="n">
        <x:v>46201</x:v>
      </x:c>
      <x:c r="M4" t="str">
        <x:v>Part Received</x:v>
      </x:c>
      <x:c r="N4" t="str">
        <x:v>China</x:v>
      </x:c>
      <x:c r="O4" t="str">
        <x:v>DHL Global Forwarding</x:v>
      </x:c>
      <x:c r="P4" t="str">
        <x:v>Pending</x:v>
      </x:c>
      <x:c r="Q4" t="n">
        <x:f>G4*I4</x:f>
        <x:v>2775</x:v>
      </x:c>
      <x:c r="R4" t="n">
        <x:f>G4-H4</x:f>
        <x:v>75</x:v>
      </x:c>
      <x:c r="S4" t="n">
        <x:f>MAX(0,L4-K4)</x:f>
        <x:v>10</x:v>
      </x:c>
      <x:c r="T4" t="str">
        <x:f>IF(AND(M4&lt;&gt;"Received",L4&lt;TODAY()),"Delayed",IF(S4&gt;0,"ETA Changed","On Track"))</x:f>
        <x:v>ETA Changed</x:v>
      </x:c>
      <x:c r="U4" t="str">
        <x:f>TEXT(J4,"mmm-yyyy")</x:f>
        <x:v>May-2026</x:v>
      </x:c>
    </x:row>
    <x:row r="5">
      <x:c r="A5" t="str">
        <x:v>PO1004</x:v>
      </x:c>
      <x:c r="B5" t="str">
        <x:v>Auckland Active Brands</x:v>
      </x:c>
      <x:c r="C5" t="str">
        <x:v>SKU1001</x:v>
      </x:c>
      <x:c r="D5" t="str">
        <x:v>Hydro Bottle 591ml</x:v>
      </x:c>
      <x:c r="E5" t="str">
        <x:v>Hydro Flask</x:v>
      </x:c>
      <x:c r="F5" t="str">
        <x:v>Drinkware</x:v>
      </x:c>
      <x:c r="G5" t="n">
        <x:v>200</x:v>
      </x:c>
      <x:c r="H5" t="n">
        <x:v>0</x:v>
      </x:c>
      <x:c r="I5" t="n">
        <x:v>18.5</x:v>
      </x:c>
      <x:c r="J5" t="n">
        <x:v>46187</x:v>
      </x:c>
      <x:c r="K5" t="n">
        <x:v>46218</x:v>
      </x:c>
      <x:c r="L5" t="n">
        <x:v>46225</x:v>
      </x:c>
      <x:c r="M5" t="str">
        <x:v>Open</x:v>
      </x:c>
      <x:c r="N5" t="str">
        <x:v>New Zealand</x:v>
      </x:c>
      <x:c r="O5" t="str">
        <x:v>Mainfreight</x:v>
      </x:c>
      <x:c r="P5" t="str">
        <x:v>Confirmed</x:v>
      </x:c>
      <x:c r="Q5" t="n">
        <x:f>G5*I5</x:f>
        <x:v>3700</x:v>
      </x:c>
      <x:c r="R5" t="n">
        <x:f>G5-H5</x:f>
        <x:v>200</x:v>
      </x:c>
      <x:c r="S5" t="n">
        <x:f>MAX(0,L5-K5)</x:f>
        <x:v>7</x:v>
      </x:c>
      <x:c r="T5" t="str">
        <x:f>IF(AND(M5&lt;&gt;"Received",L5&lt;TODAY()),"Delayed",IF(S5&gt;0,"ETA Changed","On Track"))</x:f>
        <x:v>ETA Changed</x:v>
      </x:c>
      <x:c r="U5" t="str">
        <x:f>TEXT(J5,"mmm-yyyy")</x:f>
        <x:v>Jun-2026</x:v>
      </x:c>
    </x:row>
    <x:row r="6">
      <x:c r="A6" t="str">
        <x:v>PO1005</x:v>
      </x:c>
      <x:c r="B6" t="str">
        <x:v>Pacific Outdoor Supply</x:v>
      </x:c>
      <x:c r="C6" t="str">
        <x:v>SKU1007</x:v>
      </x:c>
      <x:c r="D6" t="str">
        <x:v>Canvas Tote</x:v>
      </x:c>
      <x:c r="E6" t="str">
        <x:v>Allbirds</x:v>
      </x:c>
      <x:c r="F6" t="str">
        <x:v>Accessories</x:v>
      </x:c>
      <x:c r="G6" t="n">
        <x:v>650</x:v>
      </x:c>
      <x:c r="H6" t="n">
        <x:v>0</x:v>
      </x:c>
      <x:c r="I6" t="n">
        <x:v>14.1</x:v>
      </x:c>
      <x:c r="J6" t="n">
        <x:v>46165</x:v>
      </x:c>
      <x:c r="K6" t="n">
        <x:v>46205</x:v>
      </x:c>
      <x:c r="L6" t="n">
        <x:v>46212</x:v>
      </x:c>
      <x:c r="M6" t="str">
        <x:v>Open</x:v>
      </x:c>
      <x:c r="N6" t="str">
        <x:v>China</x:v>
      </x:c>
      <x:c r="O6" t="str">
        <x:v>DHL Global Forwarding</x:v>
      </x:c>
      <x:c r="P6" t="str">
        <x:v>Pending</x:v>
      </x:c>
      <x:c r="Q6" t="n">
        <x:f>G6*I6</x:f>
        <x:v>9165</x:v>
      </x:c>
      <x:c r="R6" t="n">
        <x:f>G6-H6</x:f>
        <x:v>650</x:v>
      </x:c>
      <x:c r="S6" t="n">
        <x:f>MAX(0,L6-K6)</x:f>
        <x:v>7</x:v>
      </x:c>
      <x:c r="T6" t="str">
        <x:f>IF(AND(M6&lt;&gt;"Received",L6&lt;TODAY()),"Delayed",IF(S6&gt;0,"ETA Changed","On Track"))</x:f>
        <x:v>ETA Changed</x:v>
      </x:c>
      <x:c r="U6" t="str">
        <x:f>TEXT(J6,"mmm-yyyy")</x:f>
        <x:v>May-2026</x:v>
      </x:c>
    </x:row>
    <x:row r="7">
      <x:c r="A7" t="str">
        <x:v>PO1006</x:v>
      </x:c>
      <x:c r="B7" t="str">
        <x:v>Pacific Outdoor Supply</x:v>
      </x:c>
      <x:c r="C7" t="str">
        <x:v>SKU1009</x:v>
      </x:c>
      <x:c r="D7" t="str">
        <x:v>Rain Jacket</x:v>
      </x:c>
      <x:c r="E7" t="str">
        <x:v>Cotopaxi</x:v>
      </x:c>
      <x:c r="F7" t="str">
        <x:v>Apparel</x:v>
      </x:c>
      <x:c r="G7" t="n">
        <x:v>800</x:v>
      </x:c>
      <x:c r="H7" t="n">
        <x:v>800</x:v>
      </x:c>
      <x:c r="I7" t="n">
        <x:v>68</x:v>
      </x:c>
      <x:c r="J7" t="n">
        <x:v>46167</x:v>
      </x:c>
      <x:c r="K7" t="n">
        <x:v>46218</x:v>
      </x:c>
      <x:c r="L7" t="n">
        <x:v>46222</x:v>
      </x:c>
      <x:c r="M7" t="str">
        <x:v>Received</x:v>
      </x:c>
      <x:c r="N7" t="str">
        <x:v>China</x:v>
      </x:c>
      <x:c r="O7" t="str">
        <x:v>DHL Global Forwarding</x:v>
      </x:c>
      <x:c r="P7" t="str">
        <x:v>Pending</x:v>
      </x:c>
      <x:c r="Q7" t="n">
        <x:f>G7*I7</x:f>
        <x:v>54400</x:v>
      </x:c>
      <x:c r="R7" t="n">
        <x:f>G7-H7</x:f>
        <x:v>0</x:v>
      </x:c>
      <x:c r="S7" t="n">
        <x:f>MAX(0,L7-K7)</x:f>
        <x:v>4</x:v>
      </x:c>
      <x:c r="T7" t="str">
        <x:f>IF(AND(M7&lt;&gt;"Received",L7&lt;TODAY()),"Delayed",IF(S7&gt;0,"ETA Changed","On Track"))</x:f>
        <x:v>ETA Changed</x:v>
      </x:c>
      <x:c r="U7" t="str">
        <x:f>TEXT(J7,"mmm-yyyy")</x:f>
        <x:v>May-2026</x:v>
      </x:c>
    </x:row>
    <x:row r="8">
      <x:c r="A8" t="str">
        <x:v>PO1007</x:v>
      </x:c>
      <x:c r="B8" t="str">
        <x:v>Auckland Active Brands</x:v>
      </x:c>
      <x:c r="C8" t="str">
        <x:v>SKU1010</x:v>
      </x:c>
      <x:c r="D8" t="str">
        <x:v>Running Crew Socks</x:v>
      </x:c>
      <x:c r="E8" t="str">
        <x:v>Feetures</x:v>
      </x:c>
      <x:c r="F8" t="str">
        <x:v>Apparel</x:v>
      </x:c>
      <x:c r="G8" t="n">
        <x:v>800</x:v>
      </x:c>
      <x:c r="H8" t="n">
        <x:v>0</x:v>
      </x:c>
      <x:c r="I8" t="n">
        <x:v>9.25</x:v>
      </x:c>
      <x:c r="J8" t="n">
        <x:v>46188</x:v>
      </x:c>
      <x:c r="K8" t="n">
        <x:v>46212</x:v>
      </x:c>
      <x:c r="L8" t="n">
        <x:v>46209</x:v>
      </x:c>
      <x:c r="M8" t="str">
        <x:v>Open</x:v>
      </x:c>
      <x:c r="N8" t="str">
        <x:v>New Zealand</x:v>
      </x:c>
      <x:c r="O8" t="str">
        <x:v>Mainfreight</x:v>
      </x:c>
      <x:c r="P8" t="str">
        <x:v>Mismatch</x:v>
      </x:c>
      <x:c r="Q8" t="n">
        <x:f>G8*I8</x:f>
        <x:v>7400</x:v>
      </x:c>
      <x:c r="R8" t="n">
        <x:f>G8-H8</x:f>
        <x:v>800</x:v>
      </x:c>
      <x:c r="S8" t="n">
        <x:f>MAX(0,L8-K8)</x:f>
        <x:v>0</x:v>
      </x:c>
      <x:c r="T8" t="str">
        <x:f>IF(AND(M8&lt;&gt;"Received",L8&lt;TODAY()),"Delayed",IF(S8&gt;0,"ETA Changed","On Track"))</x:f>
        <x:v>On Track</x:v>
      </x:c>
      <x:c r="U8" t="str">
        <x:f>TEXT(J8,"mmm-yyyy")</x:f>
        <x:v>Jun-2026</x:v>
      </x:c>
    </x:row>
    <x:row r="9">
      <x:c r="A9" t="str">
        <x:v>PO1008</x:v>
      </x:c>
      <x:c r="B9" t="str">
        <x:v>Pacific Outdoor Supply</x:v>
      </x:c>
      <x:c r="C9" t="str">
        <x:v>SKU1004</x:v>
      </x:c>
      <x:c r="D9" t="str">
        <x:v>Merino Socks</x:v>
      </x:c>
      <x:c r="E9" t="str">
        <x:v>Feetures</x:v>
      </x:c>
      <x:c r="F9" t="str">
        <x:v>Apparel</x:v>
      </x:c>
      <x:c r="G9" t="n">
        <x:v>800</x:v>
      </x:c>
      <x:c r="H9" t="n">
        <x:v>800</x:v>
      </x:c>
      <x:c r="I9" t="n">
        <x:v>8.4</x:v>
      </x:c>
      <x:c r="J9" t="n">
        <x:v>46167</x:v>
      </x:c>
      <x:c r="K9" t="n">
        <x:v>46194</x:v>
      </x:c>
      <x:c r="L9" t="n">
        <x:v>46208</x:v>
      </x:c>
      <x:c r="M9" t="str">
        <x:v>Received</x:v>
      </x:c>
      <x:c r="N9" t="str">
        <x:v>China</x:v>
      </x:c>
      <x:c r="O9" t="str">
        <x:v>DHL Global Forwarding</x:v>
      </x:c>
      <x:c r="P9" t="str">
        <x:v>Confirmed</x:v>
      </x:c>
      <x:c r="Q9" t="n">
        <x:f>G9*I9</x:f>
        <x:v>6720</x:v>
      </x:c>
      <x:c r="R9" t="n">
        <x:f>G9-H9</x:f>
        <x:v>0</x:v>
      </x:c>
      <x:c r="S9" t="n">
        <x:f>MAX(0,L9-K9)</x:f>
        <x:v>14</x:v>
      </x:c>
      <x:c r="T9" t="str">
        <x:f>IF(AND(M9&lt;&gt;"Received",L9&lt;TODAY()),"Delayed",IF(S9&gt;0,"ETA Changed","On Track"))</x:f>
        <x:v>ETA Changed</x:v>
      </x:c>
      <x:c r="U9" t="str">
        <x:f>TEXT(J9,"mmm-yyyy")</x:f>
        <x:v>May-2026</x:v>
      </x:c>
    </x:row>
    <x:row r="10">
      <x:c r="A10" t="str">
        <x:v>PO1009</x:v>
      </x:c>
      <x:c r="B10" t="str">
        <x:v>Auckland Active Brands</x:v>
      </x:c>
      <x:c r="C10" t="str">
        <x:v>SKU1006</x:v>
      </x:c>
      <x:c r="D10" t="str">
        <x:v>Compact Binoculars</x:v>
      </x:c>
      <x:c r="E10" t="str">
        <x:v>Nocs</x:v>
      </x:c>
      <x:c r="F10" t="str">
        <x:v>Outdoor</x:v>
      </x:c>
      <x:c r="G10" t="n">
        <x:v>650</x:v>
      </x:c>
      <x:c r="H10" t="n">
        <x:v>650</x:v>
      </x:c>
      <x:c r="I10" t="n">
        <x:v>55.2</x:v>
      </x:c>
      <x:c r="J10" t="n">
        <x:v>46185</x:v>
      </x:c>
      <x:c r="K10" t="n">
        <x:v>46244</x:v>
      </x:c>
      <x:c r="L10" t="n">
        <x:v>46244</x:v>
      </x:c>
      <x:c r="M10" t="str">
        <x:v>Received</x:v>
      </x:c>
      <x:c r="N10" t="str">
        <x:v>New Zealand</x:v>
      </x:c>
      <x:c r="O10" t="str">
        <x:v>Mainfreight</x:v>
      </x:c>
      <x:c r="P10" t="str">
        <x:v>Confirmed</x:v>
      </x:c>
      <x:c r="Q10" t="n">
        <x:f>G10*I10</x:f>
        <x:v>35880</x:v>
      </x:c>
      <x:c r="R10" t="n">
        <x:f>G10-H10</x:f>
        <x:v>0</x:v>
      </x:c>
      <x:c r="S10" t="n">
        <x:f>MAX(0,L10-K10)</x:f>
        <x:v>0</x:v>
      </x:c>
      <x:c r="T10" t="str">
        <x:f>IF(AND(M10&lt;&gt;"Received",L10&lt;TODAY()),"Delayed",IF(S10&gt;0,"ETA Changed","On Track"))</x:f>
        <x:v>On Track</x:v>
      </x:c>
      <x:c r="U10" t="str">
        <x:f>TEXT(J10,"mmm-yyyy")</x:f>
        <x:v>Jun-2026</x:v>
      </x:c>
    </x:row>
    <x:row r="11">
      <x:c r="A11" t="str">
        <x:v>PO1010</x:v>
      </x:c>
      <x:c r="B11" t="str">
        <x:v>Auckland Active Brands</x:v>
      </x:c>
      <x:c r="C11" t="str">
        <x:v>SKU1004</x:v>
      </x:c>
      <x:c r="D11" t="str">
        <x:v>Merino Socks</x:v>
      </x:c>
      <x:c r="E11" t="str">
        <x:v>Feetures</x:v>
      </x:c>
      <x:c r="F11" t="str">
        <x:v>Apparel</x:v>
      </x:c>
      <x:c r="G11" t="n">
        <x:v>800</x:v>
      </x:c>
      <x:c r="H11" t="n">
        <x:v>800</x:v>
      </x:c>
      <x:c r="I11" t="n">
        <x:v>8.4</x:v>
      </x:c>
      <x:c r="J11" t="n">
        <x:v>46172</x:v>
      </x:c>
      <x:c r="K11" t="n">
        <x:v>46201</x:v>
      </x:c>
      <x:c r="L11" t="n">
        <x:v>46205</x:v>
      </x:c>
      <x:c r="M11" t="str">
        <x:v>Received</x:v>
      </x:c>
      <x:c r="N11" t="str">
        <x:v>New Zealand</x:v>
      </x:c>
      <x:c r="O11" t="str">
        <x:v>Mainfreight</x:v>
      </x:c>
      <x:c r="P11" t="str">
        <x:v>Confirmed</x:v>
      </x:c>
      <x:c r="Q11" t="n">
        <x:f>G11*I11</x:f>
        <x:v>6720</x:v>
      </x:c>
      <x:c r="R11" t="n">
        <x:f>G11-H11</x:f>
        <x:v>0</x:v>
      </x:c>
      <x:c r="S11" t="n">
        <x:f>MAX(0,L11-K11)</x:f>
        <x:v>4</x:v>
      </x:c>
      <x:c r="T11" t="str">
        <x:f>IF(AND(M11&lt;&gt;"Received",L11&lt;TODAY()),"Delayed",IF(S11&gt;0,"ETA Changed","On Track"))</x:f>
        <x:v>ETA Changed</x:v>
      </x:c>
      <x:c r="U11" t="str">
        <x:f>TEXT(J11,"mmm-yyyy")</x:f>
        <x:v>May-2026</x:v>
      </x:c>
    </x:row>
    <x:row r="12">
      <x:c r="A12" t="str">
        <x:v>PO1011</x:v>
      </x:c>
      <x:c r="B12" t="str">
        <x:v>Pacific Outdoor Supply</x:v>
      </x:c>
      <x:c r="C12" t="str">
        <x:v>SKU1006</x:v>
      </x:c>
      <x:c r="D12" t="str">
        <x:v>Compact Binoculars</x:v>
      </x:c>
      <x:c r="E12" t="str">
        <x:v>Nocs</x:v>
      </x:c>
      <x:c r="F12" t="str">
        <x:v>Outdoor</x:v>
      </x:c>
      <x:c r="G12" t="n">
        <x:v>250</x:v>
      </x:c>
      <x:c r="H12" t="n">
        <x:v>62</x:v>
      </x:c>
      <x:c r="I12" t="n">
        <x:v>55.2</x:v>
      </x:c>
      <x:c r="J12" t="n">
        <x:v>46157</x:v>
      </x:c>
      <x:c r="K12" t="n">
        <x:v>46225</x:v>
      </x:c>
      <x:c r="L12" t="n">
        <x:v>46222</x:v>
      </x:c>
      <x:c r="M12" t="str">
        <x:v>Part Received</x:v>
      </x:c>
      <x:c r="N12" t="str">
        <x:v>China</x:v>
      </x:c>
      <x:c r="O12" t="str">
        <x:v>DHL Global Forwarding</x:v>
      </x:c>
      <x:c r="P12" t="str">
        <x:v>Confirmed</x:v>
      </x:c>
      <x:c r="Q12" t="n">
        <x:f>G12*I12</x:f>
        <x:v>13800</x:v>
      </x:c>
      <x:c r="R12" t="n">
        <x:f>G12-H12</x:f>
        <x:v>188</x:v>
      </x:c>
      <x:c r="S12" t="n">
        <x:f>MAX(0,L12-K12)</x:f>
        <x:v>0</x:v>
      </x:c>
      <x:c r="T12" t="str">
        <x:f>IF(AND(M12&lt;&gt;"Received",L12&lt;TODAY()),"Delayed",IF(S12&gt;0,"ETA Changed","On Track"))</x:f>
        <x:v>On Track</x:v>
      </x:c>
      <x:c r="U12" t="str">
        <x:f>TEXT(J12,"mmm-yyyy")</x:f>
        <x:v>May-2026</x:v>
      </x:c>
    </x:row>
    <x:row r="13">
      <x:c r="A13" t="str">
        <x:v>PO1012</x:v>
      </x:c>
      <x:c r="B13" t="str">
        <x:v>Lifestyle Accessories Co</x:v>
      </x:c>
      <x:c r="C13" t="str">
        <x:v>SKU1010</x:v>
      </x:c>
      <x:c r="D13" t="str">
        <x:v>Running Crew Socks</x:v>
      </x:c>
      <x:c r="E13" t="str">
        <x:v>Feetures</x:v>
      </x:c>
      <x:c r="F13" t="str">
        <x:v>Apparel</x:v>
      </x:c>
      <x:c r="G13" t="n">
        <x:v>300</x:v>
      </x:c>
      <x:c r="H13" t="n">
        <x:v>300</x:v>
      </x:c>
      <x:c r="I13" t="n">
        <x:v>9.25</x:v>
      </x:c>
      <x:c r="J13" t="n">
        <x:v>46163</x:v>
      </x:c>
      <x:c r="K13" t="n">
        <x:v>46189</x:v>
      </x:c>
      <x:c r="L13" t="n">
        <x:v>46203</x:v>
      </x:c>
      <x:c r="M13" t="str">
        <x:v>Received</x:v>
      </x:c>
      <x:c r="N13" t="str">
        <x:v>India</x:v>
      </x:c>
      <x:c r="O13" t="str">
        <x:v>Kuehne+Nagel</x:v>
      </x:c>
      <x:c r="P13" t="str">
        <x:v>Confirmed</x:v>
      </x:c>
      <x:c r="Q13" t="n">
        <x:f>G13*I13</x:f>
        <x:v>2775</x:v>
      </x:c>
      <x:c r="R13" t="n">
        <x:f>G13-H13</x:f>
        <x:v>0</x:v>
      </x:c>
      <x:c r="S13" t="n">
        <x:f>MAX(0,L13-K13)</x:f>
        <x:v>14</x:v>
      </x:c>
      <x:c r="T13" t="str">
        <x:f>IF(AND(M13&lt;&gt;"Received",L13&lt;TODAY()),"Delayed",IF(S13&gt;0,"ETA Changed","On Track"))</x:f>
        <x:v>ETA Changed</x:v>
      </x:c>
      <x:c r="U13" t="str">
        <x:f>TEXT(J13,"mmm-yyyy")</x:f>
        <x:v>May-2026</x:v>
      </x:c>
    </x:row>
    <x:row r="14">
      <x:c r="A14" t="str">
        <x:v>PO1013</x:v>
      </x:c>
      <x:c r="B14" t="str">
        <x:v>Sydney Lifestyle Imports</x:v>
      </x:c>
      <x:c r="C14" t="str">
        <x:v>SKU1003</x:v>
      </x:c>
      <x:c r="D14" t="str">
        <x:v>Recovery Slide</x:v>
      </x:c>
      <x:c r="E14" t="str">
        <x:v>OOFOS</x:v>
      </x:c>
      <x:c r="F14" t="str">
        <x:v>Footwear</x:v>
      </x:c>
      <x:c r="G14" t="n">
        <x:v>650</x:v>
      </x:c>
      <x:c r="H14" t="n">
        <x:v>487</x:v>
      </x:c>
      <x:c r="I14" t="n">
        <x:v>42</x:v>
      </x:c>
      <x:c r="J14" t="n">
        <x:v>46151</x:v>
      </x:c>
      <x:c r="K14" t="n">
        <x:v>46194</x:v>
      </x:c>
      <x:c r="L14" t="n">
        <x:v>46198</x:v>
      </x:c>
      <x:c r="M14" t="str">
        <x:v>Part Received</x:v>
      </x:c>
      <x:c r="N14" t="str">
        <x:v>Australia</x:v>
      </x:c>
      <x:c r="O14" t="str">
        <x:v>Toll Logistics</x:v>
      </x:c>
      <x:c r="P14" t="str">
        <x:v>Confirmed</x:v>
      </x:c>
      <x:c r="Q14" t="n">
        <x:f>G14*I14</x:f>
        <x:v>27300</x:v>
      </x:c>
      <x:c r="R14" t="n">
        <x:f>G14-H14</x:f>
        <x:v>163</x:v>
      </x:c>
      <x:c r="S14" t="n">
        <x:f>MAX(0,L14-K14)</x:f>
        <x:v>4</x:v>
      </x:c>
      <x:c r="T14" t="str">
        <x:f>IF(AND(M14&lt;&gt;"Received",L14&lt;TODAY()),"Delayed",IF(S14&gt;0,"ETA Changed","On Track"))</x:f>
        <x:v>ETA Changed</x:v>
      </x:c>
      <x:c r="U14" t="str">
        <x:f>TEXT(J14,"mmm-yyyy")</x:f>
        <x:v>May-2026</x:v>
      </x:c>
    </x:row>
    <x:row r="15">
      <x:c r="A15" t="str">
        <x:v>PO1014</x:v>
      </x:c>
      <x:c r="B15" t="str">
        <x:v>Auckland Active Brands</x:v>
      </x:c>
      <x:c r="C15" t="str">
        <x:v>SKU1004</x:v>
      </x:c>
      <x:c r="D15" t="str">
        <x:v>Merino Socks</x:v>
      </x:c>
      <x:c r="E15" t="str">
        <x:v>Feetures</x:v>
      </x:c>
      <x:c r="F15" t="str">
        <x:v>Apparel</x:v>
      </x:c>
      <x:c r="G15" t="n">
        <x:v>80</x:v>
      </x:c>
      <x:c r="H15" t="n">
        <x:v>80</x:v>
      </x:c>
      <x:c r="I15" t="n">
        <x:v>8.4</x:v>
      </x:c>
      <x:c r="J15" t="n">
        <x:v>46175</x:v>
      </x:c>
      <x:c r="K15" t="n">
        <x:v>46205</x:v>
      </x:c>
      <x:c r="L15" t="n">
        <x:v>46205</x:v>
      </x:c>
      <x:c r="M15" t="str">
        <x:v>Received</x:v>
      </x:c>
      <x:c r="N15" t="str">
        <x:v>New Zealand</x:v>
      </x:c>
      <x:c r="O15" t="str">
        <x:v>Mainfreight</x:v>
      </x:c>
      <x:c r="P15" t="str">
        <x:v>Confirmed</x:v>
      </x:c>
      <x:c r="Q15" t="n">
        <x:f>G15*I15</x:f>
        <x:v>672</x:v>
      </x:c>
      <x:c r="R15" t="n">
        <x:f>G15-H15</x:f>
        <x:v>0</x:v>
      </x:c>
      <x:c r="S15" t="n">
        <x:f>MAX(0,L15-K15)</x:f>
        <x:v>0</x:v>
      </x:c>
      <x:c r="T15" t="str">
        <x:f>IF(AND(M15&lt;&gt;"Received",L15&lt;TODAY()),"Delayed",IF(S15&gt;0,"ETA Changed","On Track"))</x:f>
        <x:v>On Track</x:v>
      </x:c>
      <x:c r="U15" t="str">
        <x:f>TEXT(J15,"mmm-yyyy")</x:f>
        <x:v>Jun-2026</x:v>
      </x:c>
    </x:row>
    <x:row r="16">
      <x:c r="A16" t="str">
        <x:v>PO1015</x:v>
      </x:c>
      <x:c r="B16" t="str">
        <x:v>Lifestyle Accessories Co</x:v>
      </x:c>
      <x:c r="C16" t="str">
        <x:v>SKU1003</x:v>
      </x:c>
      <x:c r="D16" t="str">
        <x:v>Recovery Slide</x:v>
      </x:c>
      <x:c r="E16" t="str">
        <x:v>OOFOS</x:v>
      </x:c>
      <x:c r="F16" t="str">
        <x:v>Footwear</x:v>
      </x:c>
      <x:c r="G16" t="n">
        <x:v>300</x:v>
      </x:c>
      <x:c r="H16" t="n">
        <x:v>150</x:v>
      </x:c>
      <x:c r="I16" t="n">
        <x:v>42</x:v>
      </x:c>
      <x:c r="J16" t="n">
        <x:v>46170</x:v>
      </x:c>
      <x:c r="K16" t="n">
        <x:v>46219</x:v>
      </x:c>
      <x:c r="L16" t="n">
        <x:v>46219</x:v>
      </x:c>
      <x:c r="M16" t="str">
        <x:v>Part Received</x:v>
      </x:c>
      <x:c r="N16" t="str">
        <x:v>India</x:v>
      </x:c>
      <x:c r="O16" t="str">
        <x:v>Kuehne+Nagel</x:v>
      </x:c>
      <x:c r="P16" t="str">
        <x:v>Confirmed</x:v>
      </x:c>
      <x:c r="Q16" t="n">
        <x:f>G16*I16</x:f>
        <x:v>12600</x:v>
      </x:c>
      <x:c r="R16" t="n">
        <x:f>G16-H16</x:f>
        <x:v>150</x:v>
      </x:c>
      <x:c r="S16" t="n">
        <x:f>MAX(0,L16-K16)</x:f>
        <x:v>0</x:v>
      </x:c>
      <x:c r="T16" t="str">
        <x:f>IF(AND(M16&lt;&gt;"Received",L16&lt;TODAY()),"Delayed",IF(S16&gt;0,"ETA Changed","On Track"))</x:f>
        <x:v>On Track</x:v>
      </x:c>
      <x:c r="U16" t="str">
        <x:f>TEXT(J16,"mmm-yyyy")</x:f>
        <x:v>May-2026</x:v>
      </x:c>
    </x:row>
    <x:row r="17">
      <x:c r="A17" t="str">
        <x:v>PO1016</x:v>
      </x:c>
      <x:c r="B17" t="str">
        <x:v>Pacific Outdoor Supply</x:v>
      </x:c>
      <x:c r="C17" t="str">
        <x:v>SKU1009</x:v>
      </x:c>
      <x:c r="D17" t="str">
        <x:v>Rain Jacket</x:v>
      </x:c>
      <x:c r="E17" t="str">
        <x:v>Cotopaxi</x:v>
      </x:c>
      <x:c r="F17" t="str">
        <x:v>Apparel</x:v>
      </x:c>
      <x:c r="G17" t="n">
        <x:v>800</x:v>
      </x:c>
      <x:c r="H17" t="n">
        <x:v>800</x:v>
      </x:c>
      <x:c r="I17" t="n">
        <x:v>68</x:v>
      </x:c>
      <x:c r="J17" t="n">
        <x:v>46186</x:v>
      </x:c>
      <x:c r="K17" t="n">
        <x:v>46247</x:v>
      </x:c>
      <x:c r="L17" t="n">
        <x:v>46247</x:v>
      </x:c>
      <x:c r="M17" t="str">
        <x:v>Received</x:v>
      </x:c>
      <x:c r="N17" t="str">
        <x:v>China</x:v>
      </x:c>
      <x:c r="O17" t="str">
        <x:v>DHL Global Forwarding</x:v>
      </x:c>
      <x:c r="P17" t="str">
        <x:v>Pending</x:v>
      </x:c>
      <x:c r="Q17" t="n">
        <x:f>G17*I17</x:f>
        <x:v>54400</x:v>
      </x:c>
      <x:c r="R17" t="n">
        <x:f>G17-H17</x:f>
        <x:v>0</x:v>
      </x:c>
      <x:c r="S17" t="n">
        <x:f>MAX(0,L17-K17)</x:f>
        <x:v>0</x:v>
      </x:c>
      <x:c r="T17" t="str">
        <x:f>IF(AND(M17&lt;&gt;"Received",L17&lt;TODAY()),"Delayed",IF(S17&gt;0,"ETA Changed","On Track"))</x:f>
        <x:v>On Track</x:v>
      </x:c>
      <x:c r="U17" t="str">
        <x:f>TEXT(J17,"mmm-yyyy")</x:f>
        <x:v>Jun-2026</x:v>
      </x:c>
    </x:row>
    <x:row r="18">
      <x:c r="A18" t="str">
        <x:v>PO1017</x:v>
      </x:c>
      <x:c r="B18" t="str">
        <x:v>Sydney Lifestyle Imports</x:v>
      </x:c>
      <x:c r="C18" t="str">
        <x:v>SKU1011</x:v>
      </x:c>
      <x:c r="D18" t="str">
        <x:v>Camp Pillow</x:v>
      </x:c>
      <x:c r="E18" t="str">
        <x:v>Rumpl</x:v>
      </x:c>
      <x:c r="F18" t="str">
        <x:v>Outdoor</x:v>
      </x:c>
      <x:c r="G18" t="n">
        <x:v>120</x:v>
      </x:c>
      <x:c r="H18" t="n">
        <x:v>90</x:v>
      </x:c>
      <x:c r="I18" t="n">
        <x:v>21.3</x:v>
      </x:c>
      <x:c r="J18" t="n">
        <x:v>46150</x:v>
      </x:c>
      <x:c r="K18" t="n">
        <x:v>46194</x:v>
      </x:c>
      <x:c r="L18" t="n">
        <x:v>46204</x:v>
      </x:c>
      <x:c r="M18" t="str">
        <x:v>Part Received</x:v>
      </x:c>
      <x:c r="N18" t="str">
        <x:v>Australia</x:v>
      </x:c>
      <x:c r="O18" t="str">
        <x:v>Toll Logistics</x:v>
      </x:c>
      <x:c r="P18" t="str">
        <x:v>Pending</x:v>
      </x:c>
      <x:c r="Q18" t="n">
        <x:f>G18*I18</x:f>
        <x:v>2556</x:v>
      </x:c>
      <x:c r="R18" t="n">
        <x:f>G18-H18</x:f>
        <x:v>30</x:v>
      </x:c>
      <x:c r="S18" t="n">
        <x:f>MAX(0,L18-K18)</x:f>
        <x:v>10</x:v>
      </x:c>
      <x:c r="T18" t="str">
        <x:f>IF(AND(M18&lt;&gt;"Received",L18&lt;TODAY()),"Delayed",IF(S18&gt;0,"ETA Changed","On Track"))</x:f>
        <x:v>ETA Changed</x:v>
      </x:c>
      <x:c r="U18" t="str">
        <x:f>TEXT(J18,"mmm-yyyy")</x:f>
        <x:v>May-2026</x:v>
      </x:c>
    </x:row>
    <x:row r="19">
      <x:c r="A19" t="str">
        <x:v>PO1018</x:v>
      </x:c>
      <x:c r="B19" t="str">
        <x:v>Summit Gear Manufacturing</x:v>
      </x:c>
      <x:c r="C19" t="str">
        <x:v>SKU1005</x:v>
      </x:c>
      <x:c r="D19" t="str">
        <x:v>Travel Blanket</x:v>
      </x:c>
      <x:c r="E19" t="str">
        <x:v>Rumpl</x:v>
      </x:c>
      <x:c r="F19" t="str">
        <x:v>Outdoor</x:v>
      </x:c>
      <x:c r="G19" t="n">
        <x:v>800</x:v>
      </x:c>
      <x:c r="H19" t="n">
        <x:v>0</x:v>
      </x:c>
      <x:c r="I19" t="n">
        <x:v>35.6</x:v>
      </x:c>
      <x:c r="J19" t="n">
        <x:v>46154</x:v>
      </x:c>
      <x:c r="K19" t="n">
        <x:v>46207</x:v>
      </x:c>
      <x:c r="L19" t="n">
        <x:v>46207</x:v>
      </x:c>
      <x:c r="M19" t="str">
        <x:v>Open</x:v>
      </x:c>
      <x:c r="N19" t="str">
        <x:v>China</x:v>
      </x:c>
      <x:c r="O19" t="str">
        <x:v>DHL Global Forwarding</x:v>
      </x:c>
      <x:c r="P19" t="str">
        <x:v>Confirmed</x:v>
      </x:c>
      <x:c r="Q19" t="n">
        <x:f>G19*I19</x:f>
        <x:v>28480</x:v>
      </x:c>
      <x:c r="R19" t="n">
        <x:f>G19-H19</x:f>
        <x:v>800</x:v>
      </x:c>
      <x:c r="S19" t="n">
        <x:f>MAX(0,L19-K19)</x:f>
        <x:v>0</x:v>
      </x:c>
      <x:c r="T19" t="str">
        <x:f>IF(AND(M19&lt;&gt;"Received",L19&lt;TODAY()),"Delayed",IF(S19&gt;0,"ETA Changed","On Track"))</x:f>
        <x:v>On Track</x:v>
      </x:c>
      <x:c r="U19" t="str">
        <x:f>TEXT(J19,"mmm-yyyy")</x:f>
        <x:v>May-2026</x:v>
      </x:c>
    </x:row>
    <x:row r="20">
      <x:c r="A20" t="str">
        <x:v>PO1019</x:v>
      </x:c>
      <x:c r="B20" t="str">
        <x:v>Summit Gear Manufacturing</x:v>
      </x:c>
      <x:c r="C20" t="str">
        <x:v>SKU1003</x:v>
      </x:c>
      <x:c r="D20" t="str">
        <x:v>Recovery Slide</x:v>
      </x:c>
      <x:c r="E20" t="str">
        <x:v>OOFOS</x:v>
      </x:c>
      <x:c r="F20" t="str">
        <x:v>Footwear</x:v>
      </x:c>
      <x:c r="G20" t="n">
        <x:v>400</x:v>
      </x:c>
      <x:c r="H20" t="n">
        <x:v>0</x:v>
      </x:c>
      <x:c r="I20" t="n">
        <x:v>42</x:v>
      </x:c>
      <x:c r="J20" t="n">
        <x:v>46176</x:v>
      </x:c>
      <x:c r="K20" t="n">
        <x:v>46216</x:v>
      </x:c>
      <x:c r="L20" t="n">
        <x:v>46223</x:v>
      </x:c>
      <x:c r="M20" t="str">
        <x:v>Open</x:v>
      </x:c>
      <x:c r="N20" t="str">
        <x:v>China</x:v>
      </x:c>
      <x:c r="O20" t="str">
        <x:v>DHL Global Forwarding</x:v>
      </x:c>
      <x:c r="P20" t="str">
        <x:v>Pending</x:v>
      </x:c>
      <x:c r="Q20" t="n">
        <x:f>G20*I20</x:f>
        <x:v>16800</x:v>
      </x:c>
      <x:c r="R20" t="n">
        <x:f>G20-H20</x:f>
        <x:v>400</x:v>
      </x:c>
      <x:c r="S20" t="n">
        <x:f>MAX(0,L20-K20)</x:f>
        <x:v>7</x:v>
      </x:c>
      <x:c r="T20" t="str">
        <x:f>IF(AND(M20&lt;&gt;"Received",L20&lt;TODAY()),"Delayed",IF(S20&gt;0,"ETA Changed","On Track"))</x:f>
        <x:v>ETA Changed</x:v>
      </x:c>
      <x:c r="U20" t="str">
        <x:f>TEXT(J20,"mmm-yyyy")</x:f>
        <x:v>Jun-2026</x:v>
      </x:c>
    </x:row>
    <x:row r="21">
      <x:c r="A21" t="str">
        <x:v>PO1020</x:v>
      </x:c>
      <x:c r="B21" t="str">
        <x:v>Auckland Active Brands</x:v>
      </x:c>
      <x:c r="C21" t="str">
        <x:v>SKU1005</x:v>
      </x:c>
      <x:c r="D21" t="str">
        <x:v>Travel Blanket</x:v>
      </x:c>
      <x:c r="E21" t="str">
        <x:v>Rumpl</x:v>
      </x:c>
      <x:c r="F21" t="str">
        <x:v>Outdoor</x:v>
      </x:c>
      <x:c r="G21" t="n">
        <x:v>100</x:v>
      </x:c>
      <x:c r="H21" t="n">
        <x:v>100</x:v>
      </x:c>
      <x:c r="I21" t="n">
        <x:v>35.6</x:v>
      </x:c>
      <x:c r="J21" t="n">
        <x:v>46146</x:v>
      </x:c>
      <x:c r="K21" t="n">
        <x:v>46194</x:v>
      </x:c>
      <x:c r="L21" t="n">
        <x:v>46194</x:v>
      </x:c>
      <x:c r="M21" t="str">
        <x:v>Received</x:v>
      </x:c>
      <x:c r="N21" t="str">
        <x:v>New Zealand</x:v>
      </x:c>
      <x:c r="O21" t="str">
        <x:v>Mainfreight</x:v>
      </x:c>
      <x:c r="P21" t="str">
        <x:v>Pending</x:v>
      </x:c>
      <x:c r="Q21" t="n">
        <x:f>G21*I21</x:f>
        <x:v>3560</x:v>
      </x:c>
      <x:c r="R21" t="n">
        <x:f>G21-H21</x:f>
        <x:v>0</x:v>
      </x:c>
      <x:c r="S21" t="n">
        <x:f>MAX(0,L21-K21)</x:f>
        <x:v>0</x:v>
      </x:c>
      <x:c r="T21" t="str">
        <x:f>IF(AND(M21&lt;&gt;"Received",L21&lt;TODAY()),"Delayed",IF(S21&gt;0,"ETA Changed","On Track"))</x:f>
        <x:v>On Track</x:v>
      </x:c>
      <x:c r="U21" t="str">
        <x:f>TEXT(J21,"mmm-yyyy")</x:f>
        <x:v>May-2026</x:v>
      </x:c>
    </x:row>
    <x:row r="22">
      <x:c r="A22" t="str">
        <x:v>PO1021</x:v>
      </x:c>
      <x:c r="B22" t="str">
        <x:v>Auckland Active Brands</x:v>
      </x:c>
      <x:c r="C22" t="str">
        <x:v>SKU1009</x:v>
      </x:c>
      <x:c r="D22" t="str">
        <x:v>Rain Jacket</x:v>
      </x:c>
      <x:c r="E22" t="str">
        <x:v>Cotopaxi</x:v>
      </x:c>
      <x:c r="F22" t="str">
        <x:v>Apparel</x:v>
      </x:c>
      <x:c r="G22" t="n">
        <x:v>500</x:v>
      </x:c>
      <x:c r="H22" t="n">
        <x:v>100</x:v>
      </x:c>
      <x:c r="I22" t="n">
        <x:v>68</x:v>
      </x:c>
      <x:c r="J22" t="n">
        <x:v>46151</x:v>
      </x:c>
      <x:c r="K22" t="n">
        <x:v>46211</x:v>
      </x:c>
      <x:c r="L22" t="n">
        <x:v>46225</x:v>
      </x:c>
      <x:c r="M22" t="str">
        <x:v>Open</x:v>
      </x:c>
      <x:c r="N22" t="str">
        <x:v>New Zealand</x:v>
      </x:c>
      <x:c r="O22" t="str">
        <x:v>Mainfreight</x:v>
      </x:c>
      <x:c r="P22" t="str">
        <x:v>Mismatch</x:v>
      </x:c>
      <x:c r="Q22" t="n">
        <x:f>G22*I22</x:f>
        <x:v>34000</x:v>
      </x:c>
      <x:c r="R22" t="n">
        <x:f>G22-H22</x:f>
        <x:v>400</x:v>
      </x:c>
      <x:c r="S22" t="n">
        <x:f>MAX(0,L22-K22)</x:f>
        <x:v>14</x:v>
      </x:c>
      <x:c r="T22" t="str">
        <x:f>IF(AND(M22&lt;&gt;"Received",L22&lt;TODAY()),"Delayed",IF(S22&gt;0,"ETA Changed","On Track"))</x:f>
        <x:v>ETA Changed</x:v>
      </x:c>
      <x:c r="U22" t="str">
        <x:f>TEXT(J22,"mmm-yyyy")</x:f>
        <x:v>May-2026</x:v>
      </x:c>
    </x:row>
    <x:row r="23">
      <x:c r="A23" t="str">
        <x:v>PO1022</x:v>
      </x:c>
      <x:c r="B23" t="str">
        <x:v>Lifestyle Accessories Co</x:v>
      </x:c>
      <x:c r="C23" t="str">
        <x:v>SKU1009</x:v>
      </x:c>
      <x:c r="D23" t="str">
        <x:v>Rain Jacket</x:v>
      </x:c>
      <x:c r="E23" t="str">
        <x:v>Cotopaxi</x:v>
      </x:c>
      <x:c r="F23" t="str">
        <x:v>Apparel</x:v>
      </x:c>
      <x:c r="G23" t="n">
        <x:v>300</x:v>
      </x:c>
      <x:c r="H23" t="n">
        <x:v>0</x:v>
      </x:c>
      <x:c r="I23" t="n">
        <x:v>68</x:v>
      </x:c>
      <x:c r="J23" t="n">
        <x:v>46187</x:v>
      </x:c>
      <x:c r="K23" t="n">
        <x:v>46240</x:v>
      </x:c>
      <x:c r="L23" t="n">
        <x:v>46244</x:v>
      </x:c>
      <x:c r="M23" t="str">
        <x:v>Cancelled</x:v>
      </x:c>
      <x:c r="N23" t="str">
        <x:v>India</x:v>
      </x:c>
      <x:c r="O23" t="str">
        <x:v>Kuehne+Nagel</x:v>
      </x:c>
      <x:c r="P23" t="str">
        <x:v>Confirmed</x:v>
      </x:c>
      <x:c r="Q23" t="n">
        <x:f>G23*I23</x:f>
        <x:v>20400</x:v>
      </x:c>
      <x:c r="R23" t="n">
        <x:f>G23-H23</x:f>
        <x:v>300</x:v>
      </x:c>
      <x:c r="S23" t="n">
        <x:f>MAX(0,L23-K23)</x:f>
        <x:v>4</x:v>
      </x:c>
      <x:c r="T23" t="str">
        <x:f>IF(AND(M23&lt;&gt;"Received",L23&lt;TODAY()),"Delayed",IF(S23&gt;0,"ETA Changed","On Track"))</x:f>
        <x:v>ETA Changed</x:v>
      </x:c>
      <x:c r="U23" t="str">
        <x:f>TEXT(J23,"mmm-yyyy")</x:f>
        <x:v>Jun-2026</x:v>
      </x:c>
    </x:row>
    <x:row r="24">
      <x:c r="A24" t="str">
        <x:v>PO1023</x:v>
      </x:c>
      <x:c r="B24" t="str">
        <x:v>Summit Gear Manufacturing</x:v>
      </x:c>
      <x:c r="C24" t="str">
        <x:v>SKU1008</x:v>
      </x:c>
      <x:c r="D24" t="str">
        <x:v>Insulated Mug</x:v>
      </x:c>
      <x:c r="E24" t="str">
        <x:v>Hydro Flask</x:v>
      </x:c>
      <x:c r="F24" t="str">
        <x:v>Drinkware</x:v>
      </x:c>
      <x:c r="G24" t="n">
        <x:v>150</x:v>
      </x:c>
      <x:c r="H24" t="n">
        <x:v>0</x:v>
      </x:c>
      <x:c r="I24" t="n">
        <x:v>15.75</x:v>
      </x:c>
      <x:c r="J24" t="n">
        <x:v>46171</x:v>
      </x:c>
      <x:c r="K24" t="n">
        <x:v>46197</x:v>
      </x:c>
      <x:c r="L24" t="n">
        <x:v>46199</x:v>
      </x:c>
      <x:c r="M24" t="str">
        <x:v>Open</x:v>
      </x:c>
      <x:c r="N24" t="str">
        <x:v>China</x:v>
      </x:c>
      <x:c r="O24" t="str">
        <x:v>DHL Global Forwarding</x:v>
      </x:c>
      <x:c r="P24" t="str">
        <x:v>Confirmed</x:v>
      </x:c>
      <x:c r="Q24" t="n">
        <x:f>G24*I24</x:f>
        <x:v>2362.5</x:v>
      </x:c>
      <x:c r="R24" t="n">
        <x:f>G24-H24</x:f>
        <x:v>150</x:v>
      </x:c>
      <x:c r="S24" t="n">
        <x:f>MAX(0,L24-K24)</x:f>
        <x:v>2</x:v>
      </x:c>
      <x:c r="T24" t="str">
        <x:f>IF(AND(M24&lt;&gt;"Received",L24&lt;TODAY()),"Delayed",IF(S24&gt;0,"ETA Changed","On Track"))</x:f>
        <x:v>ETA Changed</x:v>
      </x:c>
      <x:c r="U24" t="str">
        <x:f>TEXT(J24,"mmm-yyyy")</x:f>
        <x:v>May-2026</x:v>
      </x:c>
    </x:row>
    <x:row r="25">
      <x:c r="A25" t="str">
        <x:v>PO1024</x:v>
      </x:c>
      <x:c r="B25" t="str">
        <x:v>Summit Gear Manufacturing</x:v>
      </x:c>
      <x:c r="C25" t="str">
        <x:v>SKU1004</x:v>
      </x:c>
      <x:c r="D25" t="str">
        <x:v>Merino Socks</x:v>
      </x:c>
      <x:c r="E25" t="str">
        <x:v>Feetures</x:v>
      </x:c>
      <x:c r="F25" t="str">
        <x:v>Apparel</x:v>
      </x:c>
      <x:c r="G25" t="n">
        <x:v>800</x:v>
      </x:c>
      <x:c r="H25" t="n">
        <x:v>0</x:v>
      </x:c>
      <x:c r="I25" t="n">
        <x:v>8.4</x:v>
      </x:c>
      <x:c r="J25" t="n">
        <x:v>46157</x:v>
      </x:c>
      <x:c r="K25" t="n">
        <x:v>46180</x:v>
      </x:c>
      <x:c r="L25" t="n">
        <x:v>46180</x:v>
      </x:c>
      <x:c r="M25" t="str">
        <x:v>Open</x:v>
      </x:c>
      <x:c r="N25" t="str">
        <x:v>China</x:v>
      </x:c>
      <x:c r="O25" t="str">
        <x:v>DHL Global Forwarding</x:v>
      </x:c>
      <x:c r="P25" t="str">
        <x:v>Mismatch</x:v>
      </x:c>
      <x:c r="Q25" t="n">
        <x:f>G25*I25</x:f>
        <x:v>6720</x:v>
      </x:c>
      <x:c r="R25" t="n">
        <x:f>G25-H25</x:f>
        <x:v>800</x:v>
      </x:c>
      <x:c r="S25" t="n">
        <x:f>MAX(0,L25-K25)</x:f>
        <x:v>0</x:v>
      </x:c>
      <x:c r="T25" t="str">
        <x:f>IF(AND(M25&lt;&gt;"Received",L25&lt;TODAY()),"Delayed",IF(S25&gt;0,"ETA Changed","On Track"))</x:f>
        <x:v>Delayed</x:v>
      </x:c>
      <x:c r="U25" t="str">
        <x:f>TEXT(J25,"mmm-yyyy")</x:f>
        <x:v>May-2026</x:v>
      </x:c>
    </x:row>
    <x:row r="26">
      <x:c r="A26" t="str">
        <x:v>PO1025</x:v>
      </x:c>
      <x:c r="B26" t="str">
        <x:v>Pacific Outdoor Supply</x:v>
      </x:c>
      <x:c r="C26" t="str">
        <x:v>SKU1006</x:v>
      </x:c>
      <x:c r="D26" t="str">
        <x:v>Compact Binoculars</x:v>
      </x:c>
      <x:c r="E26" t="str">
        <x:v>Nocs</x:v>
      </x:c>
      <x:c r="F26" t="str">
        <x:v>Outdoor</x:v>
      </x:c>
      <x:c r="G26" t="n">
        <x:v>800</x:v>
      </x:c>
      <x:c r="H26" t="n">
        <x:v>600</x:v>
      </x:c>
      <x:c r="I26" t="n">
        <x:v>55.2</x:v>
      </x:c>
      <x:c r="J26" t="n">
        <x:v>46175</x:v>
      </x:c>
      <x:c r="K26" t="n">
        <x:v>46233</x:v>
      </x:c>
      <x:c r="L26" t="n">
        <x:v>46237</x:v>
      </x:c>
      <x:c r="M26" t="str">
        <x:v>Part Received</x:v>
      </x:c>
      <x:c r="N26" t="str">
        <x:v>China</x:v>
      </x:c>
      <x:c r="O26" t="str">
        <x:v>DHL Global Forwarding</x:v>
      </x:c>
      <x:c r="P26" t="str">
        <x:v>Confirmed</x:v>
      </x:c>
      <x:c r="Q26" t="n">
        <x:f>G26*I26</x:f>
        <x:v>44160</x:v>
      </x:c>
      <x:c r="R26" t="n">
        <x:f>G26-H26</x:f>
        <x:v>200</x:v>
      </x:c>
      <x:c r="S26" t="n">
        <x:f>MAX(0,L26-K26)</x:f>
        <x:v>4</x:v>
      </x:c>
      <x:c r="T26" t="str">
        <x:f>IF(AND(M26&lt;&gt;"Received",L26&lt;TODAY()),"Delayed",IF(S26&gt;0,"ETA Changed","On Track"))</x:f>
        <x:v>ETA Changed</x:v>
      </x:c>
      <x:c r="U26" t="str">
        <x:f>TEXT(J26,"mmm-yyyy")</x:f>
        <x:v>Jun-2026</x:v>
      </x:c>
    </x:row>
    <x:row r="27">
      <x:c r="A27" t="str">
        <x:v>PO1026</x:v>
      </x:c>
      <x:c r="B27" t="str">
        <x:v>Summit Gear Manufacturing</x:v>
      </x:c>
      <x:c r="C27" t="str">
        <x:v>SKU1010</x:v>
      </x:c>
      <x:c r="D27" t="str">
        <x:v>Running Crew Socks</x:v>
      </x:c>
      <x:c r="E27" t="str">
        <x:v>Feetures</x:v>
      </x:c>
      <x:c r="F27" t="str">
        <x:v>Apparel</x:v>
      </x:c>
      <x:c r="G27" t="n">
        <x:v>300</x:v>
      </x:c>
      <x:c r="H27" t="n">
        <x:v>0</x:v>
      </x:c>
      <x:c r="I27" t="n">
        <x:v>9.25</x:v>
      </x:c>
      <x:c r="J27" t="n">
        <x:v>46173</x:v>
      </x:c>
      <x:c r="K27" t="n">
        <x:v>46199</x:v>
      </x:c>
      <x:c r="L27" t="n">
        <x:v>46213</x:v>
      </x:c>
      <x:c r="M27" t="str">
        <x:v>Open</x:v>
      </x:c>
      <x:c r="N27" t="str">
        <x:v>China</x:v>
      </x:c>
      <x:c r="O27" t="str">
        <x:v>DHL Global Forwarding</x:v>
      </x:c>
      <x:c r="P27" t="str">
        <x:v>Confirmed</x:v>
      </x:c>
      <x:c r="Q27" t="n">
        <x:f>G27*I27</x:f>
        <x:v>2775</x:v>
      </x:c>
      <x:c r="R27" t="n">
        <x:f>G27-H27</x:f>
        <x:v>300</x:v>
      </x:c>
      <x:c r="S27" t="n">
        <x:f>MAX(0,L27-K27)</x:f>
        <x:v>14</x:v>
      </x:c>
      <x:c r="T27" t="str">
        <x:f>IF(AND(M27&lt;&gt;"Received",L27&lt;TODAY()),"Delayed",IF(S27&gt;0,"ETA Changed","On Track"))</x:f>
        <x:v>ETA Changed</x:v>
      </x:c>
      <x:c r="U27" t="str">
        <x:f>TEXT(J27,"mmm-yyyy")</x:f>
        <x:v>May-2026</x:v>
      </x:c>
    </x:row>
    <x:row r="28">
      <x:c r="A28" t="str">
        <x:v>PO1027</x:v>
      </x:c>
      <x:c r="B28" t="str">
        <x:v>Global Footwear Ltd</x:v>
      </x:c>
      <x:c r="C28" t="str">
        <x:v>SKU1006</x:v>
      </x:c>
      <x:c r="D28" t="str">
        <x:v>Compact Binoculars</x:v>
      </x:c>
      <x:c r="E28" t="str">
        <x:v>Nocs</x:v>
      </x:c>
      <x:c r="F28" t="str">
        <x:v>Outdoor</x:v>
      </x:c>
      <x:c r="G28" t="n">
        <x:v>800</x:v>
      </x:c>
      <x:c r="H28" t="n">
        <x:v>800</x:v>
      </x:c>
      <x:c r="I28" t="n">
        <x:v>55.2</x:v>
      </x:c>
      <x:c r="J28" t="n">
        <x:v>46169</x:v>
      </x:c>
      <x:c r="K28" t="n">
        <x:v>46231</x:v>
      </x:c>
      <x:c r="L28" t="n">
        <x:v>46228</x:v>
      </x:c>
      <x:c r="M28" t="str">
        <x:v>Received</x:v>
      </x:c>
      <x:c r="N28" t="str">
        <x:v>Vietnam</x:v>
      </x:c>
      <x:c r="O28" t="str">
        <x:v>Maersk</x:v>
      </x:c>
      <x:c r="P28" t="str">
        <x:v>Confirmed</x:v>
      </x:c>
      <x:c r="Q28" t="n">
        <x:f>G28*I28</x:f>
        <x:v>44160</x:v>
      </x:c>
      <x:c r="R28" t="n">
        <x:f>G28-H28</x:f>
        <x:v>0</x:v>
      </x:c>
      <x:c r="S28" t="n">
        <x:f>MAX(0,L28-K28)</x:f>
        <x:v>0</x:v>
      </x:c>
      <x:c r="T28" t="str">
        <x:f>IF(AND(M28&lt;&gt;"Received",L28&lt;TODAY()),"Delayed",IF(S28&gt;0,"ETA Changed","On Track"))</x:f>
        <x:v>On Track</x:v>
      </x:c>
      <x:c r="U28" t="str">
        <x:f>TEXT(J28,"mmm-yyyy")</x:f>
        <x:v>May-2026</x:v>
      </x:c>
    </x:row>
    <x:row r="29">
      <x:c r="A29" t="str">
        <x:v>PO1028</x:v>
      </x:c>
      <x:c r="B29" t="str">
        <x:v>Global Footwear Ltd</x:v>
      </x:c>
      <x:c r="C29" t="str">
        <x:v>SKU1001</x:v>
      </x:c>
      <x:c r="D29" t="str">
        <x:v>Hydro Bottle 591ml</x:v>
      </x:c>
      <x:c r="E29" t="str">
        <x:v>Hydro Flask</x:v>
      </x:c>
      <x:c r="F29" t="str">
        <x:v>Drinkware</x:v>
      </x:c>
      <x:c r="G29" t="n">
        <x:v>150</x:v>
      </x:c>
      <x:c r="H29" t="n">
        <x:v>30</x:v>
      </x:c>
      <x:c r="I29" t="n">
        <x:v>18.5</x:v>
      </x:c>
      <x:c r="J29" t="n">
        <x:v>46164</x:v>
      </x:c>
      <x:c r="K29" t="n">
        <x:v>46201</x:v>
      </x:c>
      <x:c r="L29" t="n">
        <x:v>46201</x:v>
      </x:c>
      <x:c r="M29" t="str">
        <x:v>Open</x:v>
      </x:c>
      <x:c r="N29" t="str">
        <x:v>Vietnam</x:v>
      </x:c>
      <x:c r="O29" t="str">
        <x:v>Maersk</x:v>
      </x:c>
      <x:c r="P29" t="str">
        <x:v>Confirmed</x:v>
      </x:c>
      <x:c r="Q29" t="n">
        <x:f>G29*I29</x:f>
        <x:v>2775</x:v>
      </x:c>
      <x:c r="R29" t="n">
        <x:f>G29-H29</x:f>
        <x:v>120</x:v>
      </x:c>
      <x:c r="S29" t="n">
        <x:f>MAX(0,L29-K29)</x:f>
        <x:v>0</x:v>
      </x:c>
      <x:c r="T29" t="str">
        <x:f>IF(AND(M29&lt;&gt;"Received",L29&lt;TODAY()),"Delayed",IF(S29&gt;0,"ETA Changed","On Track"))</x:f>
        <x:v>On Track</x:v>
      </x:c>
      <x:c r="U29" t="str">
        <x:f>TEXT(J29,"mmm-yyyy")</x:f>
        <x:v>May-2026</x:v>
      </x:c>
    </x:row>
    <x:row r="30">
      <x:c r="A30" t="str">
        <x:v>PO1029</x:v>
      </x:c>
      <x:c r="B30" t="str">
        <x:v>Sydney Lifestyle Imports</x:v>
      </x:c>
      <x:c r="C30" t="str">
        <x:v>SKU1003</x:v>
      </x:c>
      <x:c r="D30" t="str">
        <x:v>Recovery Slide</x:v>
      </x:c>
      <x:c r="E30" t="str">
        <x:v>OOFOS</x:v>
      </x:c>
      <x:c r="F30" t="str">
        <x:v>Footwear</x:v>
      </x:c>
      <x:c r="G30" t="n">
        <x:v>400</x:v>
      </x:c>
      <x:c r="H30" t="n">
        <x:v>400</x:v>
      </x:c>
      <x:c r="I30" t="n">
        <x:v>42</x:v>
      </x:c>
      <x:c r="J30" t="n">
        <x:v>46172</x:v>
      </x:c>
      <x:c r="K30" t="n">
        <x:v>46215</x:v>
      </x:c>
      <x:c r="L30" t="n">
        <x:v>46215</x:v>
      </x:c>
      <x:c r="M30" t="str">
        <x:v>Received</x:v>
      </x:c>
      <x:c r="N30" t="str">
        <x:v>Australia</x:v>
      </x:c>
      <x:c r="O30" t="str">
        <x:v>Toll Logistics</x:v>
      </x:c>
      <x:c r="P30" t="str">
        <x:v>Pending</x:v>
      </x:c>
      <x:c r="Q30" t="n">
        <x:f>G30*I30</x:f>
        <x:v>16800</x:v>
      </x:c>
      <x:c r="R30" t="n">
        <x:f>G30-H30</x:f>
        <x:v>0</x:v>
      </x:c>
      <x:c r="S30" t="n">
        <x:f>MAX(0,L30-K30)</x:f>
        <x:v>0</x:v>
      </x:c>
      <x:c r="T30" t="str">
        <x:f>IF(AND(M30&lt;&gt;"Received",L30&lt;TODAY()),"Delayed",IF(S30&gt;0,"ETA Changed","On Track"))</x:f>
        <x:v>On Track</x:v>
      </x:c>
      <x:c r="U30" t="str">
        <x:f>TEXT(J30,"mmm-yyyy")</x:f>
        <x:v>May-2026</x:v>
      </x:c>
    </x:row>
    <x:row r="31">
      <x:c r="A31" t="str">
        <x:v>PO1030</x:v>
      </x:c>
      <x:c r="B31" t="str">
        <x:v>Pacific Outdoor Supply</x:v>
      </x:c>
      <x:c r="C31" t="str">
        <x:v>SKU1002</x:v>
      </x:c>
      <x:c r="D31" t="str">
        <x:v>Trail Cap</x:v>
      </x:c>
      <x:c r="E31" t="str">
        <x:v>Cotopaxi</x:v>
      </x:c>
      <x:c r="F31" t="str">
        <x:v>Apparel</x:v>
      </x:c>
      <x:c r="G31" t="n">
        <x:v>100</x:v>
      </x:c>
      <x:c r="H31" t="n">
        <x:v>100</x:v>
      </x:c>
      <x:c r="I31" t="n">
        <x:v>12.75</x:v>
      </x:c>
      <x:c r="J31" t="n">
        <x:v>46184</x:v>
      </x:c>
      <x:c r="K31" t="n">
        <x:v>46222</x:v>
      </x:c>
      <x:c r="L31" t="n">
        <x:v>46219</x:v>
      </x:c>
      <x:c r="M31" t="str">
        <x:v>Received</x:v>
      </x:c>
      <x:c r="N31" t="str">
        <x:v>China</x:v>
      </x:c>
      <x:c r="O31" t="str">
        <x:v>DHL Global Forwarding</x:v>
      </x:c>
      <x:c r="P31" t="str">
        <x:v>Pending</x:v>
      </x:c>
      <x:c r="Q31" t="n">
        <x:f>G31*I31</x:f>
        <x:v>1275</x:v>
      </x:c>
      <x:c r="R31" t="n">
        <x:f>G31-H31</x:f>
        <x:v>0</x:v>
      </x:c>
      <x:c r="S31" t="n">
        <x:f>MAX(0,L31-K31)</x:f>
        <x:v>0</x:v>
      </x:c>
      <x:c r="T31" t="str">
        <x:f>IF(AND(M31&lt;&gt;"Received",L31&lt;TODAY()),"Delayed",IF(S31&gt;0,"ETA Changed","On Track"))</x:f>
        <x:v>On Track</x:v>
      </x:c>
      <x:c r="U31" t="str">
        <x:f>TEXT(J31,"mmm-yyyy")</x:f>
        <x:v>Jun-2026</x:v>
      </x:c>
    </x:row>
    <x:row r="32">
      <x:c r="A32" t="str">
        <x:v>PO1031</x:v>
      </x:c>
      <x:c r="B32" t="str">
        <x:v>Global Footwear Ltd</x:v>
      </x:c>
      <x:c r="C32" t="str">
        <x:v>SKU1003</x:v>
      </x:c>
      <x:c r="D32" t="str">
        <x:v>Recovery Slide</x:v>
      </x:c>
      <x:c r="E32" t="str">
        <x:v>OOFOS</x:v>
      </x:c>
      <x:c r="F32" t="str">
        <x:v>Footwear</x:v>
      </x:c>
      <x:c r="G32" t="n">
        <x:v>300</x:v>
      </x:c>
      <x:c r="H32" t="n">
        <x:v>300</x:v>
      </x:c>
      <x:c r="I32" t="n">
        <x:v>42</x:v>
      </x:c>
      <x:c r="J32" t="n">
        <x:v>46174</x:v>
      </x:c>
      <x:c r="K32" t="n">
        <x:v>46221</x:v>
      </x:c>
      <x:c r="L32" t="n">
        <x:v>46223</x:v>
      </x:c>
      <x:c r="M32" t="str">
        <x:v>Received</x:v>
      </x:c>
      <x:c r="N32" t="str">
        <x:v>Vietnam</x:v>
      </x:c>
      <x:c r="O32" t="str">
        <x:v>Maersk</x:v>
      </x:c>
      <x:c r="P32" t="str">
        <x:v>Confirmed</x:v>
      </x:c>
      <x:c r="Q32" t="n">
        <x:f>G32*I32</x:f>
        <x:v>12600</x:v>
      </x:c>
      <x:c r="R32" t="n">
        <x:f>G32-H32</x:f>
        <x:v>0</x:v>
      </x:c>
      <x:c r="S32" t="n">
        <x:f>MAX(0,L32-K32)</x:f>
        <x:v>2</x:v>
      </x:c>
      <x:c r="T32" t="str">
        <x:f>IF(AND(M32&lt;&gt;"Received",L32&lt;TODAY()),"Delayed",IF(S32&gt;0,"ETA Changed","On Track"))</x:f>
        <x:v>ETA Changed</x:v>
      </x:c>
      <x:c r="U32" t="str">
        <x:f>TEXT(J32,"mmm-yyyy")</x:f>
        <x:v>Jun-2026</x:v>
      </x:c>
    </x:row>
    <x:row r="33">
      <x:c r="A33" t="str">
        <x:v>PO1032</x:v>
      </x:c>
      <x:c r="B33" t="str">
        <x:v>Global Footwear Ltd</x:v>
      </x:c>
      <x:c r="C33" t="str">
        <x:v>SKU1001</x:v>
      </x:c>
      <x:c r="D33" t="str">
        <x:v>Hydro Bottle 591ml</x:v>
      </x:c>
      <x:c r="E33" t="str">
        <x:v>Hydro Flask</x:v>
      </x:c>
      <x:c r="F33" t="str">
        <x:v>Drinkware</x:v>
      </x:c>
      <x:c r="G33" t="n">
        <x:v>200</x:v>
      </x:c>
      <x:c r="H33" t="n">
        <x:v>150</x:v>
      </x:c>
      <x:c r="I33" t="n">
        <x:v>18.5</x:v>
      </x:c>
      <x:c r="J33" t="n">
        <x:v>46159</x:v>
      </x:c>
      <x:c r="K33" t="n">
        <x:v>46196</x:v>
      </x:c>
      <x:c r="L33" t="n">
        <x:v>46210</x:v>
      </x:c>
      <x:c r="M33" t="str">
        <x:v>Part Received</x:v>
      </x:c>
      <x:c r="N33" t="str">
        <x:v>Vietnam</x:v>
      </x:c>
      <x:c r="O33" t="str">
        <x:v>Maersk</x:v>
      </x:c>
      <x:c r="P33" t="str">
        <x:v>Mismatch</x:v>
      </x:c>
      <x:c r="Q33" t="n">
        <x:f>G33*I33</x:f>
        <x:v>3700</x:v>
      </x:c>
      <x:c r="R33" t="n">
        <x:f>G33-H33</x:f>
        <x:v>50</x:v>
      </x:c>
      <x:c r="S33" t="n">
        <x:f>MAX(0,L33-K33)</x:f>
        <x:v>14</x:v>
      </x:c>
      <x:c r="T33" t="str">
        <x:f>IF(AND(M33&lt;&gt;"Received",L33&lt;TODAY()),"Delayed",IF(S33&gt;0,"ETA Changed","On Track"))</x:f>
        <x:v>ETA Changed</x:v>
      </x:c>
      <x:c r="U33" t="str">
        <x:f>TEXT(J33,"mmm-yyyy")</x:f>
        <x:v>May-2026</x:v>
      </x:c>
    </x:row>
    <x:row r="34">
      <x:c r="A34" t="str">
        <x:v>PO1033</x:v>
      </x:c>
      <x:c r="B34" t="str">
        <x:v>Lifestyle Accessories Co</x:v>
      </x:c>
      <x:c r="C34" t="str">
        <x:v>SKU1009</x:v>
      </x:c>
      <x:c r="D34" t="str">
        <x:v>Rain Jacket</x:v>
      </x:c>
      <x:c r="E34" t="str">
        <x:v>Cotopaxi</x:v>
      </x:c>
      <x:c r="F34" t="str">
        <x:v>Apparel</x:v>
      </x:c>
      <x:c r="G34" t="n">
        <x:v>150</x:v>
      </x:c>
      <x:c r="H34" t="n">
        <x:v>0</x:v>
      </x:c>
      <x:c r="I34" t="n">
        <x:v>68</x:v>
      </x:c>
      <x:c r="J34" t="n">
        <x:v>46188</x:v>
      </x:c>
      <x:c r="K34" t="n">
        <x:v>46245</x:v>
      </x:c>
      <x:c r="L34" t="n">
        <x:v>46245</x:v>
      </x:c>
      <x:c r="M34" t="str">
        <x:v>Open</x:v>
      </x:c>
      <x:c r="N34" t="str">
        <x:v>India</x:v>
      </x:c>
      <x:c r="O34" t="str">
        <x:v>Kuehne+Nagel</x:v>
      </x:c>
      <x:c r="P34" t="str">
        <x:v>Confirmed</x:v>
      </x:c>
      <x:c r="Q34" t="n">
        <x:f>G34*I34</x:f>
        <x:v>10200</x:v>
      </x:c>
      <x:c r="R34" t="n">
        <x:f>G34-H34</x:f>
        <x:v>150</x:v>
      </x:c>
      <x:c r="S34" t="n">
        <x:f>MAX(0,L34-K34)</x:f>
        <x:v>0</x:v>
      </x:c>
      <x:c r="T34" t="str">
        <x:f>IF(AND(M34&lt;&gt;"Received",L34&lt;TODAY()),"Delayed",IF(S34&gt;0,"ETA Changed","On Track"))</x:f>
        <x:v>On Track</x:v>
      </x:c>
      <x:c r="U34" t="str">
        <x:f>TEXT(J34,"mmm-yyyy")</x:f>
        <x:v>Jun-2026</x:v>
      </x:c>
    </x:row>
    <x:row r="35">
      <x:c r="A35" t="str">
        <x:v>PO1034</x:v>
      </x:c>
      <x:c r="B35" t="str">
        <x:v>Pacific Outdoor Supply</x:v>
      </x:c>
      <x:c r="C35" t="str">
        <x:v>SKU1009</x:v>
      </x:c>
      <x:c r="D35" t="str">
        <x:v>Rain Jacket</x:v>
      </x:c>
      <x:c r="E35" t="str">
        <x:v>Cotopaxi</x:v>
      </x:c>
      <x:c r="F35" t="str">
        <x:v>Apparel</x:v>
      </x:c>
      <x:c r="G35" t="n">
        <x:v>650</x:v>
      </x:c>
      <x:c r="H35" t="n">
        <x:v>487</x:v>
      </x:c>
      <x:c r="I35" t="n">
        <x:v>68</x:v>
      </x:c>
      <x:c r="J35" t="n">
        <x:v>46163</x:v>
      </x:c>
      <x:c r="K35" t="n">
        <x:v>46213</x:v>
      </x:c>
      <x:c r="L35" t="n">
        <x:v>46210</x:v>
      </x:c>
      <x:c r="M35" t="str">
        <x:v>Part Received</x:v>
      </x:c>
      <x:c r="N35" t="str">
        <x:v>China</x:v>
      </x:c>
      <x:c r="O35" t="str">
        <x:v>DHL Global Forwarding</x:v>
      </x:c>
      <x:c r="P35" t="str">
        <x:v>Confirmed</x:v>
      </x:c>
      <x:c r="Q35" t="n">
        <x:f>G35*I35</x:f>
        <x:v>44200</x:v>
      </x:c>
      <x:c r="R35" t="n">
        <x:f>G35-H35</x:f>
        <x:v>163</x:v>
      </x:c>
      <x:c r="S35" t="n">
        <x:f>MAX(0,L35-K35)</x:f>
        <x:v>0</x:v>
      </x:c>
      <x:c r="T35" t="str">
        <x:f>IF(AND(M35&lt;&gt;"Received",L35&lt;TODAY()),"Delayed",IF(S35&gt;0,"ETA Changed","On Track"))</x:f>
        <x:v>On Track</x:v>
      </x:c>
      <x:c r="U35" t="str">
        <x:f>TEXT(J35,"mmm-yyyy")</x:f>
        <x:v>May-2026</x:v>
      </x:c>
    </x:row>
    <x:row r="36">
      <x:c r="A36" t="str">
        <x:v>PO1035</x:v>
      </x:c>
      <x:c r="B36" t="str">
        <x:v>Pacific Outdoor Supply</x:v>
      </x:c>
      <x:c r="C36" t="str">
        <x:v>SKU1009</x:v>
      </x:c>
      <x:c r="D36" t="str">
        <x:v>Rain Jacket</x:v>
      </x:c>
      <x:c r="E36" t="str">
        <x:v>Cotopaxi</x:v>
      </x:c>
      <x:c r="F36" t="str">
        <x:v>Apparel</x:v>
      </x:c>
      <x:c r="G36" t="n">
        <x:v>800</x:v>
      </x:c>
      <x:c r="H36" t="n">
        <x:v>800</x:v>
      </x:c>
      <x:c r="I36" t="n">
        <x:v>68</x:v>
      </x:c>
      <x:c r="J36" t="n">
        <x:v>46154</x:v>
      </x:c>
      <x:c r="K36" t="n">
        <x:v>46205</x:v>
      </x:c>
      <x:c r="L36" t="n">
        <x:v>46205</x:v>
      </x:c>
      <x:c r="M36" t="str">
        <x:v>Received</x:v>
      </x:c>
      <x:c r="N36" t="str">
        <x:v>China</x:v>
      </x:c>
      <x:c r="O36" t="str">
        <x:v>DHL Global Forwarding</x:v>
      </x:c>
      <x:c r="P36" t="str">
        <x:v>Confirmed</x:v>
      </x:c>
      <x:c r="Q36" t="n">
        <x:f>G36*I36</x:f>
        <x:v>54400</x:v>
      </x:c>
      <x:c r="R36" t="n">
        <x:f>G36-H36</x:f>
        <x:v>0</x:v>
      </x:c>
      <x:c r="S36" t="n">
        <x:f>MAX(0,L36-K36)</x:f>
        <x:v>0</x:v>
      </x:c>
      <x:c r="T36" t="str">
        <x:f>IF(AND(M36&lt;&gt;"Received",L36&lt;TODAY()),"Delayed",IF(S36&gt;0,"ETA Changed","On Track"))</x:f>
        <x:v>On Track</x:v>
      </x:c>
      <x:c r="U36" t="str">
        <x:f>TEXT(J36,"mmm-yyyy")</x:f>
        <x:v>May-2026</x:v>
      </x:c>
    </x:row>
    <x:row r="37">
      <x:c r="A37" t="str">
        <x:v>PO1036</x:v>
      </x:c>
      <x:c r="B37" t="str">
        <x:v>Auckland Active Brands</x:v>
      </x:c>
      <x:c r="C37" t="str">
        <x:v>SKU1010</x:v>
      </x:c>
      <x:c r="D37" t="str">
        <x:v>Running Crew Socks</x:v>
      </x:c>
      <x:c r="E37" t="str">
        <x:v>Feetures</x:v>
      </x:c>
      <x:c r="F37" t="str">
        <x:v>Apparel</x:v>
      </x:c>
      <x:c r="G37" t="n">
        <x:v>650</x:v>
      </x:c>
      <x:c r="H37" t="n">
        <x:v>0</x:v>
      </x:c>
      <x:c r="I37" t="n">
        <x:v>9.25</x:v>
      </x:c>
      <x:c r="J37" t="n">
        <x:v>46180</x:v>
      </x:c>
      <x:c r="K37" t="n">
        <x:v>46212</x:v>
      </x:c>
      <x:c r="L37" t="n">
        <x:v>46209</x:v>
      </x:c>
      <x:c r="M37" t="str">
        <x:v>Open</x:v>
      </x:c>
      <x:c r="N37" t="str">
        <x:v>New Zealand</x:v>
      </x:c>
      <x:c r="O37" t="str">
        <x:v>Mainfreight</x:v>
      </x:c>
      <x:c r="P37" t="str">
        <x:v>Mismatch</x:v>
      </x:c>
      <x:c r="Q37" t="n">
        <x:f>G37*I37</x:f>
        <x:v>6012.5</x:v>
      </x:c>
      <x:c r="R37" t="n">
        <x:f>G37-H37</x:f>
        <x:v>650</x:v>
      </x:c>
      <x:c r="S37" t="n">
        <x:f>MAX(0,L37-K37)</x:f>
        <x:v>0</x:v>
      </x:c>
      <x:c r="T37" t="str">
        <x:f>IF(AND(M37&lt;&gt;"Received",L37&lt;TODAY()),"Delayed",IF(S37&gt;0,"ETA Changed","On Track"))</x:f>
        <x:v>On Track</x:v>
      </x:c>
      <x:c r="U37" t="str">
        <x:f>TEXT(J37,"mmm-yyyy")</x:f>
        <x:v>Jun-2026</x:v>
      </x:c>
    </x:row>
    <x:row r="38">
      <x:c r="A38" t="str">
        <x:v>PO1037</x:v>
      </x:c>
      <x:c r="B38" t="str">
        <x:v>Lifestyle Accessories Co</x:v>
      </x:c>
      <x:c r="C38" t="str">
        <x:v>SKU1004</x:v>
      </x:c>
      <x:c r="D38" t="str">
        <x:v>Merino Socks</x:v>
      </x:c>
      <x:c r="E38" t="str">
        <x:v>Feetures</x:v>
      </x:c>
      <x:c r="F38" t="str">
        <x:v>Apparel</x:v>
      </x:c>
      <x:c r="G38" t="n">
        <x:v>200</x:v>
      </x:c>
      <x:c r="H38" t="n">
        <x:v>150</x:v>
      </x:c>
      <x:c r="I38" t="n">
        <x:v>8.4</x:v>
      </x:c>
      <x:c r="J38" t="n">
        <x:v>46188</x:v>
      </x:c>
      <x:c r="K38" t="n">
        <x:v>46216</x:v>
      </x:c>
      <x:c r="L38" t="n">
        <x:v>46218</x:v>
      </x:c>
      <x:c r="M38" t="str">
        <x:v>Part Received</x:v>
      </x:c>
      <x:c r="N38" t="str">
        <x:v>India</x:v>
      </x:c>
      <x:c r="O38" t="str">
        <x:v>Kuehne+Nagel</x:v>
      </x:c>
      <x:c r="P38" t="str">
        <x:v>Confirmed</x:v>
      </x:c>
      <x:c r="Q38" t="n">
        <x:f>G38*I38</x:f>
        <x:v>1680</x:v>
      </x:c>
      <x:c r="R38" t="n">
        <x:f>G38-H38</x:f>
        <x:v>50</x:v>
      </x:c>
      <x:c r="S38" t="n">
        <x:f>MAX(0,L38-K38)</x:f>
        <x:v>2</x:v>
      </x:c>
      <x:c r="T38" t="str">
        <x:f>IF(AND(M38&lt;&gt;"Received",L38&lt;TODAY()),"Delayed",IF(S38&gt;0,"ETA Changed","On Track"))</x:f>
        <x:v>ETA Changed</x:v>
      </x:c>
      <x:c r="U38" t="str">
        <x:f>TEXT(J38,"mmm-yyyy")</x:f>
        <x:v>Jun-2026</x:v>
      </x:c>
    </x:row>
    <x:row r="39">
      <x:c r="A39" t="str">
        <x:v>PO1038</x:v>
      </x:c>
      <x:c r="B39" t="str">
        <x:v>Sydney Lifestyle Imports</x:v>
      </x:c>
      <x:c r="C39" t="str">
        <x:v>SKU1008</x:v>
      </x:c>
      <x:c r="D39" t="str">
        <x:v>Insulated Mug</x:v>
      </x:c>
      <x:c r="E39" t="str">
        <x:v>Hydro Flask</x:v>
      </x:c>
      <x:c r="F39" t="str">
        <x:v>Drinkware</x:v>
      </x:c>
      <x:c r="G39" t="n">
        <x:v>650</x:v>
      </x:c>
      <x:c r="H39" t="n">
        <x:v>0</x:v>
      </x:c>
      <x:c r="I39" t="n">
        <x:v>15.75</x:v>
      </x:c>
      <x:c r="J39" t="n">
        <x:v>46147</x:v>
      </x:c>
      <x:c r="K39" t="n">
        <x:v>46172</x:v>
      </x:c>
      <x:c r="L39" t="n">
        <x:v>46186</x:v>
      </x:c>
      <x:c r="M39" t="str">
        <x:v>Cancelled</x:v>
      </x:c>
      <x:c r="N39" t="str">
        <x:v>Australia</x:v>
      </x:c>
      <x:c r="O39" t="str">
        <x:v>Toll Logistics</x:v>
      </x:c>
      <x:c r="P39" t="str">
        <x:v>Mismatch</x:v>
      </x:c>
      <x:c r="Q39" t="n">
        <x:f>G39*I39</x:f>
        <x:v>10237.5</x:v>
      </x:c>
      <x:c r="R39" t="n">
        <x:f>G39-H39</x:f>
        <x:v>650</x:v>
      </x:c>
      <x:c r="S39" t="n">
        <x:f>MAX(0,L39-K39)</x:f>
        <x:v>14</x:v>
      </x:c>
      <x:c r="T39" t="str">
        <x:f>IF(AND(M39&lt;&gt;"Received",L39&lt;TODAY()),"Delayed",IF(S39&gt;0,"ETA Changed","On Track"))</x:f>
        <x:v>Delayed</x:v>
      </x:c>
      <x:c r="U39" t="str">
        <x:f>TEXT(J39,"mmm-yyyy")</x:f>
        <x:v>May-2026</x:v>
      </x:c>
    </x:row>
    <x:row r="40">
      <x:c r="A40" t="str">
        <x:v>PO1039</x:v>
      </x:c>
      <x:c r="B40" t="str">
        <x:v>Summit Gear Manufacturing</x:v>
      </x:c>
      <x:c r="C40" t="str">
        <x:v>SKU1002</x:v>
      </x:c>
      <x:c r="D40" t="str">
        <x:v>Trail Cap</x:v>
      </x:c>
      <x:c r="E40" t="str">
        <x:v>Cotopaxi</x:v>
      </x:c>
      <x:c r="F40" t="str">
        <x:v>Apparel</x:v>
      </x:c>
      <x:c r="G40" t="n">
        <x:v>120</x:v>
      </x:c>
      <x:c r="H40" t="n">
        <x:v>120</x:v>
      </x:c>
      <x:c r="I40" t="n">
        <x:v>12.75</x:v>
      </x:c>
      <x:c r="J40" t="n">
        <x:v>46156</x:v>
      </x:c>
      <x:c r="K40" t="n">
        <x:v>46194</x:v>
      </x:c>
      <x:c r="L40" t="n">
        <x:v>46198</x:v>
      </x:c>
      <x:c r="M40" t="str">
        <x:v>Received</x:v>
      </x:c>
      <x:c r="N40" t="str">
        <x:v>China</x:v>
      </x:c>
      <x:c r="O40" t="str">
        <x:v>DHL Global Forwarding</x:v>
      </x:c>
      <x:c r="P40" t="str">
        <x:v>Pending</x:v>
      </x:c>
      <x:c r="Q40" t="n">
        <x:f>G40*I40</x:f>
        <x:v>1530</x:v>
      </x:c>
      <x:c r="R40" t="n">
        <x:f>G40-H40</x:f>
        <x:v>0</x:v>
      </x:c>
      <x:c r="S40" t="n">
        <x:f>MAX(0,L40-K40)</x:f>
        <x:v>4</x:v>
      </x:c>
      <x:c r="T40" t="str">
        <x:f>IF(AND(M40&lt;&gt;"Received",L40&lt;TODAY()),"Delayed",IF(S40&gt;0,"ETA Changed","On Track"))</x:f>
        <x:v>ETA Changed</x:v>
      </x:c>
      <x:c r="U40" t="str">
        <x:f>TEXT(J40,"mmm-yyyy")</x:f>
        <x:v>May-2026</x:v>
      </x:c>
    </x:row>
    <x:row r="41">
      <x:c r="A41" t="str">
        <x:v>PO1040</x:v>
      </x:c>
      <x:c r="B41" t="str">
        <x:v>Sydney Lifestyle Imports</x:v>
      </x:c>
      <x:c r="C41" t="str">
        <x:v>SKU1004</x:v>
      </x:c>
      <x:c r="D41" t="str">
        <x:v>Merino Socks</x:v>
      </x:c>
      <x:c r="E41" t="str">
        <x:v>Feetures</x:v>
      </x:c>
      <x:c r="F41" t="str">
        <x:v>Apparel</x:v>
      </x:c>
      <x:c r="G41" t="n">
        <x:v>500</x:v>
      </x:c>
      <x:c r="H41" t="n">
        <x:v>500</x:v>
      </x:c>
      <x:c r="I41" t="n">
        <x:v>8.4</x:v>
      </x:c>
      <x:c r="J41" t="n">
        <x:v>46161</x:v>
      </x:c>
      <x:c r="K41" t="n">
        <x:v>46186</x:v>
      </x:c>
      <x:c r="L41" t="n">
        <x:v>46200</x:v>
      </x:c>
      <x:c r="M41" t="str">
        <x:v>Received</x:v>
      </x:c>
      <x:c r="N41" t="str">
        <x:v>Australia</x:v>
      </x:c>
      <x:c r="O41" t="str">
        <x:v>Toll Logistics</x:v>
      </x:c>
      <x:c r="P41" t="str">
        <x:v>Confirmed</x:v>
      </x:c>
      <x:c r="Q41" t="n">
        <x:f>G41*I41</x:f>
        <x:v>4200</x:v>
      </x:c>
      <x:c r="R41" t="n">
        <x:f>G41-H41</x:f>
        <x:v>0</x:v>
      </x:c>
      <x:c r="S41" t="n">
        <x:f>MAX(0,L41-K41)</x:f>
        <x:v>14</x:v>
      </x:c>
      <x:c r="T41" t="str">
        <x:f>IF(AND(M41&lt;&gt;"Received",L41&lt;TODAY()),"Delayed",IF(S41&gt;0,"ETA Changed","On Track"))</x:f>
        <x:v>ETA Changed</x:v>
      </x:c>
      <x:c r="U41" t="str">
        <x:f>TEXT(J41,"mmm-yyyy")</x:f>
        <x:v>May-2026</x:v>
      </x:c>
    </x:row>
    <x:row r="42">
      <x:c r="A42" t="str">
        <x:v>PO1041</x:v>
      </x:c>
      <x:c r="B42" t="str">
        <x:v>Summit Gear Manufacturing</x:v>
      </x:c>
      <x:c r="C42" t="str">
        <x:v>SKU1011</x:v>
      </x:c>
      <x:c r="D42" t="str">
        <x:v>Camp Pillow</x:v>
      </x:c>
      <x:c r="E42" t="str">
        <x:v>Rumpl</x:v>
      </x:c>
      <x:c r="F42" t="str">
        <x:v>Outdoor</x:v>
      </x:c>
      <x:c r="G42" t="n">
        <x:v>800</x:v>
      </x:c>
      <x:c r="H42" t="n">
        <x:v>0</x:v>
      </x:c>
      <x:c r="I42" t="n">
        <x:v>21.3</x:v>
      </x:c>
      <x:c r="J42" t="n">
        <x:v>46143</x:v>
      </x:c>
      <x:c r="K42" t="n">
        <x:v>46193</x:v>
      </x:c>
      <x:c r="L42" t="n">
        <x:v>46197</x:v>
      </x:c>
      <x:c r="M42" t="str">
        <x:v>Open</x:v>
      </x:c>
      <x:c r="N42" t="str">
        <x:v>China</x:v>
      </x:c>
      <x:c r="O42" t="str">
        <x:v>DHL Global Forwarding</x:v>
      </x:c>
      <x:c r="P42" t="str">
        <x:v>Confirmed</x:v>
      </x:c>
      <x:c r="Q42" t="n">
        <x:f>G42*I42</x:f>
        <x:v>17040</x:v>
      </x:c>
      <x:c r="R42" t="n">
        <x:f>G42-H42</x:f>
        <x:v>800</x:v>
      </x:c>
      <x:c r="S42" t="n">
        <x:f>MAX(0,L42-K42)</x:f>
        <x:v>4</x:v>
      </x:c>
      <x:c r="T42" t="str">
        <x:f>IF(AND(M42&lt;&gt;"Received",L42&lt;TODAY()),"Delayed",IF(S42&gt;0,"ETA Changed","On Track"))</x:f>
        <x:v>ETA Changed</x:v>
      </x:c>
      <x:c r="U42" t="str">
        <x:f>TEXT(J42,"mmm-yyyy")</x:f>
        <x:v>May-2026</x:v>
      </x:c>
    </x:row>
    <x:row r="43">
      <x:c r="A43" t="str">
        <x:v>PO1042</x:v>
      </x:c>
      <x:c r="B43" t="str">
        <x:v>Lifestyle Accessories Co</x:v>
      </x:c>
      <x:c r="C43" t="str">
        <x:v>SKU1002</x:v>
      </x:c>
      <x:c r="D43" t="str">
        <x:v>Trail Cap</x:v>
      </x:c>
      <x:c r="E43" t="str">
        <x:v>Cotopaxi</x:v>
      </x:c>
      <x:c r="F43" t="str">
        <x:v>Apparel</x:v>
      </x:c>
      <x:c r="G43" t="n">
        <x:v>200</x:v>
      </x:c>
      <x:c r="H43" t="n">
        <x:v>200</x:v>
      </x:c>
      <x:c r="I43" t="n">
        <x:v>12.75</x:v>
      </x:c>
      <x:c r="J43" t="n">
        <x:v>46178</x:v>
      </x:c>
      <x:c r="K43" t="n">
        <x:v>46210</x:v>
      </x:c>
      <x:c r="L43" t="n">
        <x:v>46214</x:v>
      </x:c>
      <x:c r="M43" t="str">
        <x:v>Received</x:v>
      </x:c>
      <x:c r="N43" t="str">
        <x:v>India</x:v>
      </x:c>
      <x:c r="O43" t="str">
        <x:v>Kuehne+Nagel</x:v>
      </x:c>
      <x:c r="P43" t="str">
        <x:v>Confirmed</x:v>
      </x:c>
      <x:c r="Q43" t="n">
        <x:f>G43*I43</x:f>
        <x:v>2550</x:v>
      </x:c>
      <x:c r="R43" t="n">
        <x:f>G43-H43</x:f>
        <x:v>0</x:v>
      </x:c>
      <x:c r="S43" t="n">
        <x:f>MAX(0,L43-K43)</x:f>
        <x:v>4</x:v>
      </x:c>
      <x:c r="T43" t="str">
        <x:f>IF(AND(M43&lt;&gt;"Received",L43&lt;TODAY()),"Delayed",IF(S43&gt;0,"ETA Changed","On Track"))</x:f>
        <x:v>ETA Changed</x:v>
      </x:c>
      <x:c r="U43" t="str">
        <x:f>TEXT(J43,"mmm-yyyy")</x:f>
        <x:v>Jun-2026</x:v>
      </x:c>
    </x:row>
    <x:row r="44">
      <x:c r="A44" t="str">
        <x:v>PO1043</x:v>
      </x:c>
      <x:c r="B44" t="str">
        <x:v>Lifestyle Accessories Co</x:v>
      </x:c>
      <x:c r="C44" t="str">
        <x:v>SKU1004</x:v>
      </x:c>
      <x:c r="D44" t="str">
        <x:v>Merino Socks</x:v>
      </x:c>
      <x:c r="E44" t="str">
        <x:v>Feetures</x:v>
      </x:c>
      <x:c r="F44" t="str">
        <x:v>Apparel</x:v>
      </x:c>
      <x:c r="G44" t="n">
        <x:v>500</x:v>
      </x:c>
      <x:c r="H44" t="n">
        <x:v>125</x:v>
      </x:c>
      <x:c r="I44" t="n">
        <x:v>8.4</x:v>
      </x:c>
      <x:c r="J44" t="n">
        <x:v>46183</x:v>
      </x:c>
      <x:c r="K44" t="n">
        <x:v>46219</x:v>
      </x:c>
      <x:c r="L44" t="n">
        <x:v>46223</x:v>
      </x:c>
      <x:c r="M44" t="str">
        <x:v>Part Received</x:v>
      </x:c>
      <x:c r="N44" t="str">
        <x:v>India</x:v>
      </x:c>
      <x:c r="O44" t="str">
        <x:v>Kuehne+Nagel</x:v>
      </x:c>
      <x:c r="P44" t="str">
        <x:v>Confirmed</x:v>
      </x:c>
      <x:c r="Q44" t="n">
        <x:f>G44*I44</x:f>
        <x:v>4200</x:v>
      </x:c>
      <x:c r="R44" t="n">
        <x:f>G44-H44</x:f>
        <x:v>375</x:v>
      </x:c>
      <x:c r="S44" t="n">
        <x:f>MAX(0,L44-K44)</x:f>
        <x:v>4</x:v>
      </x:c>
      <x:c r="T44" t="str">
        <x:f>IF(AND(M44&lt;&gt;"Received",L44&lt;TODAY()),"Delayed",IF(S44&gt;0,"ETA Changed","On Track"))</x:f>
        <x:v>ETA Changed</x:v>
      </x:c>
      <x:c r="U44" t="str">
        <x:f>TEXT(J44,"mmm-yyyy")</x:f>
        <x:v>Jun-2026</x:v>
      </x:c>
    </x:row>
    <x:row r="45">
      <x:c r="A45" t="str">
        <x:v>PO1044</x:v>
      </x:c>
      <x:c r="B45" t="str">
        <x:v>Sydney Lifestyle Imports</x:v>
      </x:c>
      <x:c r="C45" t="str">
        <x:v>SKU1007</x:v>
      </x:c>
      <x:c r="D45" t="str">
        <x:v>Canvas Tote</x:v>
      </x:c>
      <x:c r="E45" t="str">
        <x:v>Allbirds</x:v>
      </x:c>
      <x:c r="F45" t="str">
        <x:v>Accessories</x:v>
      </x:c>
      <x:c r="G45" t="n">
        <x:v>120</x:v>
      </x:c>
      <x:c r="H45" t="n">
        <x:v>120</x:v>
      </x:c>
      <x:c r="I45" t="n">
        <x:v>14.1</x:v>
      </x:c>
      <x:c r="J45" t="n">
        <x:v>46145</x:v>
      </x:c>
      <x:c r="K45" t="n">
        <x:v>46172</x:v>
      </x:c>
      <x:c r="L45" t="n">
        <x:v>46179</x:v>
      </x:c>
      <x:c r="M45" t="str">
        <x:v>Received</x:v>
      </x:c>
      <x:c r="N45" t="str">
        <x:v>Australia</x:v>
      </x:c>
      <x:c r="O45" t="str">
        <x:v>Toll Logistics</x:v>
      </x:c>
      <x:c r="P45" t="str">
        <x:v>Confirmed</x:v>
      </x:c>
      <x:c r="Q45" t="n">
        <x:f>G45*I45</x:f>
        <x:v>1692</x:v>
      </x:c>
      <x:c r="R45" t="n">
        <x:f>G45-H45</x:f>
        <x:v>0</x:v>
      </x:c>
      <x:c r="S45" t="n">
        <x:f>MAX(0,L45-K45)</x:f>
        <x:v>7</x:v>
      </x:c>
      <x:c r="T45" t="str">
        <x:f>IF(AND(M45&lt;&gt;"Received",L45&lt;TODAY()),"Delayed",IF(S45&gt;0,"ETA Changed","On Track"))</x:f>
        <x:v>ETA Changed</x:v>
      </x:c>
      <x:c r="U45" t="str">
        <x:f>TEXT(J45,"mmm-yyyy")</x:f>
        <x:v>May-2026</x:v>
      </x:c>
    </x:row>
    <x:row r="46">
      <x:c r="A46" t="str">
        <x:v>PO1045</x:v>
      </x:c>
      <x:c r="B46" t="str">
        <x:v>Global Footwear Ltd</x:v>
      </x:c>
      <x:c r="C46" t="str">
        <x:v>SKU1012</x:v>
      </x:c>
      <x:c r="D46" t="str">
        <x:v>Trail Shoe</x:v>
      </x:c>
      <x:c r="E46" t="str">
        <x:v>Allbirds</x:v>
      </x:c>
      <x:c r="F46" t="str">
        <x:v>Footwear</x:v>
      </x:c>
      <x:c r="G46" t="n">
        <x:v>500</x:v>
      </x:c>
      <x:c r="H46" t="n">
        <x:v>0</x:v>
      </x:c>
      <x:c r="I46" t="n">
        <x:v>52.9</x:v>
      </x:c>
      <x:c r="J46" t="n">
        <x:v>46178</x:v>
      </x:c>
      <x:c r="K46" t="n">
        <x:v>46234</x:v>
      </x:c>
      <x:c r="L46" t="n">
        <x:v>46244</x:v>
      </x:c>
      <x:c r="M46" t="str">
        <x:v>Open</x:v>
      </x:c>
      <x:c r="N46" t="str">
        <x:v>Vietnam</x:v>
      </x:c>
      <x:c r="O46" t="str">
        <x:v>Maersk</x:v>
      </x:c>
      <x:c r="P46" t="str">
        <x:v>Mismatch</x:v>
      </x:c>
      <x:c r="Q46" t="n">
        <x:f>G46*I46</x:f>
        <x:v>26450</x:v>
      </x:c>
      <x:c r="R46" t="n">
        <x:f>G46-H46</x:f>
        <x:v>500</x:v>
      </x:c>
      <x:c r="S46" t="n">
        <x:f>MAX(0,L46-K46)</x:f>
        <x:v>10</x:v>
      </x:c>
      <x:c r="T46" t="str">
        <x:f>IF(AND(M46&lt;&gt;"Received",L46&lt;TODAY()),"Delayed",IF(S46&gt;0,"ETA Changed","On Track"))</x:f>
        <x:v>ETA Changed</x:v>
      </x:c>
      <x:c r="U46" t="str">
        <x:f>TEXT(J46,"mmm-yyyy")</x:f>
        <x:v>Jun-2026</x:v>
      </x:c>
    </x:row>
    <x:row r="47">
      <x:c r="A47" t="str">
        <x:v>PO1046</x:v>
      </x:c>
      <x:c r="B47" t="str">
        <x:v>Auckland Active Brands</x:v>
      </x:c>
      <x:c r="C47" t="str">
        <x:v>SKU1012</x:v>
      </x:c>
      <x:c r="D47" t="str">
        <x:v>Trail Shoe</x:v>
      </x:c>
      <x:c r="E47" t="str">
        <x:v>Allbirds</x:v>
      </x:c>
      <x:c r="F47" t="str">
        <x:v>Footwear</x:v>
      </x:c>
      <x:c r="G47" t="n">
        <x:v>650</x:v>
      </x:c>
      <x:c r="H47" t="n">
        <x:v>325</x:v>
      </x:c>
      <x:c r="I47" t="n">
        <x:v>52.9</x:v>
      </x:c>
      <x:c r="J47" t="n">
        <x:v>46177</x:v>
      </x:c>
      <x:c r="K47" t="n">
        <x:v>46222</x:v>
      </x:c>
      <x:c r="L47" t="n">
        <x:v>46229</x:v>
      </x:c>
      <x:c r="M47" t="str">
        <x:v>Part Received</x:v>
      </x:c>
      <x:c r="N47" t="str">
        <x:v>New Zealand</x:v>
      </x:c>
      <x:c r="O47" t="str">
        <x:v>Mainfreight</x:v>
      </x:c>
      <x:c r="P47" t="str">
        <x:v>Confirmed</x:v>
      </x:c>
      <x:c r="Q47" t="n">
        <x:f>G47*I47</x:f>
        <x:v>34385</x:v>
      </x:c>
      <x:c r="R47" t="n">
        <x:f>G47-H47</x:f>
        <x:v>325</x:v>
      </x:c>
      <x:c r="S47" t="n">
        <x:f>MAX(0,L47-K47)</x:f>
        <x:v>7</x:v>
      </x:c>
      <x:c r="T47" t="str">
        <x:f>IF(AND(M47&lt;&gt;"Received",L47&lt;TODAY()),"Delayed",IF(S47&gt;0,"ETA Changed","On Track"))</x:f>
        <x:v>ETA Changed</x:v>
      </x:c>
      <x:c r="U47" t="str">
        <x:f>TEXT(J47,"mmm-yyyy")</x:f>
        <x:v>Jun-2026</x:v>
      </x:c>
    </x:row>
    <x:row r="48">
      <x:c r="A48" t="str">
        <x:v>PO1047</x:v>
      </x:c>
      <x:c r="B48" t="str">
        <x:v>Sydney Lifestyle Imports</x:v>
      </x:c>
      <x:c r="C48" t="str">
        <x:v>SKU1005</x:v>
      </x:c>
      <x:c r="D48" t="str">
        <x:v>Travel Blanket</x:v>
      </x:c>
      <x:c r="E48" t="str">
        <x:v>Rumpl</x:v>
      </x:c>
      <x:c r="F48" t="str">
        <x:v>Outdoor</x:v>
      </x:c>
      <x:c r="G48" t="n">
        <x:v>800</x:v>
      </x:c>
      <x:c r="H48" t="n">
        <x:v>0</x:v>
      </x:c>
      <x:c r="I48" t="n">
        <x:v>35.6</x:v>
      </x:c>
      <x:c r="J48" t="n">
        <x:v>46145</x:v>
      </x:c>
      <x:c r="K48" t="n">
        <x:v>46195</x:v>
      </x:c>
      <x:c r="L48" t="n">
        <x:v>46197</x:v>
      </x:c>
      <x:c r="M48" t="str">
        <x:v>Open</x:v>
      </x:c>
      <x:c r="N48" t="str">
        <x:v>Australia</x:v>
      </x:c>
      <x:c r="O48" t="str">
        <x:v>Toll Logistics</x:v>
      </x:c>
      <x:c r="P48" t="str">
        <x:v>Confirmed</x:v>
      </x:c>
      <x:c r="Q48" t="n">
        <x:f>G48*I48</x:f>
        <x:v>28480</x:v>
      </x:c>
      <x:c r="R48" t="n">
        <x:f>G48-H48</x:f>
        <x:v>800</x:v>
      </x:c>
      <x:c r="S48" t="n">
        <x:f>MAX(0,L48-K48)</x:f>
        <x:v>2</x:v>
      </x:c>
      <x:c r="T48" t="str">
        <x:f>IF(AND(M48&lt;&gt;"Received",L48&lt;TODAY()),"Delayed",IF(S48&gt;0,"ETA Changed","On Track"))</x:f>
        <x:v>ETA Changed</x:v>
      </x:c>
      <x:c r="U48" t="str">
        <x:f>TEXT(J48,"mmm-yyyy")</x:f>
        <x:v>May-2026</x:v>
      </x:c>
    </x:row>
    <x:row r="49">
      <x:c r="A49" t="str">
        <x:v>PO1048</x:v>
      </x:c>
      <x:c r="B49" t="str">
        <x:v>Global Footwear Ltd</x:v>
      </x:c>
      <x:c r="C49" t="str">
        <x:v>SKU1009</x:v>
      </x:c>
      <x:c r="D49" t="str">
        <x:v>Rain Jacket</x:v>
      </x:c>
      <x:c r="E49" t="str">
        <x:v>Cotopaxi</x:v>
      </x:c>
      <x:c r="F49" t="str">
        <x:v>Apparel</x:v>
      </x:c>
      <x:c r="G49" t="n">
        <x:v>150</x:v>
      </x:c>
      <x:c r="H49" t="n">
        <x:v>150</x:v>
      </x:c>
      <x:c r="I49" t="n">
        <x:v>68</x:v>
      </x:c>
      <x:c r="J49" t="n">
        <x:v>46182</x:v>
      </x:c>
      <x:c r="K49" t="n">
        <x:v>46243</x:v>
      </x:c>
      <x:c r="L49" t="n">
        <x:v>46243</x:v>
      </x:c>
      <x:c r="M49" t="str">
        <x:v>Received</x:v>
      </x:c>
      <x:c r="N49" t="str">
        <x:v>Vietnam</x:v>
      </x:c>
      <x:c r="O49" t="str">
        <x:v>Maersk</x:v>
      </x:c>
      <x:c r="P49" t="str">
        <x:v>Mismatch</x:v>
      </x:c>
      <x:c r="Q49" t="n">
        <x:f>G49*I49</x:f>
        <x:v>10200</x:v>
      </x:c>
      <x:c r="R49" t="n">
        <x:f>G49-H49</x:f>
        <x:v>0</x:v>
      </x:c>
      <x:c r="S49" t="n">
        <x:f>MAX(0,L49-K49)</x:f>
        <x:v>0</x:v>
      </x:c>
      <x:c r="T49" t="str">
        <x:f>IF(AND(M49&lt;&gt;"Received",L49&lt;TODAY()),"Delayed",IF(S49&gt;0,"ETA Changed","On Track"))</x:f>
        <x:v>On Track</x:v>
      </x:c>
      <x:c r="U49" t="str">
        <x:f>TEXT(J49,"mmm-yyyy")</x:f>
        <x:v>Jun-2026</x:v>
      </x:c>
    </x:row>
    <x:row r="50">
      <x:c r="A50" t="str">
        <x:v>PO1049</x:v>
      </x:c>
      <x:c r="B50" t="str">
        <x:v>Global Footwear Ltd</x:v>
      </x:c>
      <x:c r="C50" t="str">
        <x:v>SKU1003</x:v>
      </x:c>
      <x:c r="D50" t="str">
        <x:v>Recovery Slide</x:v>
      </x:c>
      <x:c r="E50" t="str">
        <x:v>OOFOS</x:v>
      </x:c>
      <x:c r="F50" t="str">
        <x:v>Footwear</x:v>
      </x:c>
      <x:c r="G50" t="n">
        <x:v>300</x:v>
      </x:c>
      <x:c r="H50" t="n">
        <x:v>300</x:v>
      </x:c>
      <x:c r="I50" t="n">
        <x:v>42</x:v>
      </x:c>
      <x:c r="J50" t="n">
        <x:v>46144</x:v>
      </x:c>
      <x:c r="K50" t="n">
        <x:v>46186</x:v>
      </x:c>
      <x:c r="L50" t="n">
        <x:v>46193</x:v>
      </x:c>
      <x:c r="M50" t="str">
        <x:v>Received</x:v>
      </x:c>
      <x:c r="N50" t="str">
        <x:v>Vietnam</x:v>
      </x:c>
      <x:c r="O50" t="str">
        <x:v>Maersk</x:v>
      </x:c>
      <x:c r="P50" t="str">
        <x:v>Pending</x:v>
      </x:c>
      <x:c r="Q50" t="n">
        <x:f>G50*I50</x:f>
        <x:v>12600</x:v>
      </x:c>
      <x:c r="R50" t="n">
        <x:f>G50-H50</x:f>
        <x:v>0</x:v>
      </x:c>
      <x:c r="S50" t="n">
        <x:f>MAX(0,L50-K50)</x:f>
        <x:v>7</x:v>
      </x:c>
      <x:c r="T50" t="str">
        <x:f>IF(AND(M50&lt;&gt;"Received",L50&lt;TODAY()),"Delayed",IF(S50&gt;0,"ETA Changed","On Track"))</x:f>
        <x:v>ETA Changed</x:v>
      </x:c>
      <x:c r="U50" t="str">
        <x:f>TEXT(J50,"mmm-yyyy")</x:f>
        <x:v>May-2026</x:v>
      </x:c>
    </x:row>
    <x:row r="51">
      <x:c r="A51" t="str">
        <x:v>PO1050</x:v>
      </x:c>
      <x:c r="B51" t="str">
        <x:v>Sydney Lifestyle Imports</x:v>
      </x:c>
      <x:c r="C51" t="str">
        <x:v>SKU1004</x:v>
      </x:c>
      <x:c r="D51" t="str">
        <x:v>Merino Socks</x:v>
      </x:c>
      <x:c r="E51" t="str">
        <x:v>Feetures</x:v>
      </x:c>
      <x:c r="F51" t="str">
        <x:v>Apparel</x:v>
      </x:c>
      <x:c r="G51" t="n">
        <x:v>300</x:v>
      </x:c>
      <x:c r="H51" t="n">
        <x:v>300</x:v>
      </x:c>
      <x:c r="I51" t="n">
        <x:v>8.4</x:v>
      </x:c>
      <x:c r="J51" t="n">
        <x:v>46153</x:v>
      </x:c>
      <x:c r="K51" t="n">
        <x:v>46188</x:v>
      </x:c>
      <x:c r="L51" t="n">
        <x:v>46188</x:v>
      </x:c>
      <x:c r="M51" t="str">
        <x:v>Received</x:v>
      </x:c>
      <x:c r="N51" t="str">
        <x:v>Australia</x:v>
      </x:c>
      <x:c r="O51" t="str">
        <x:v>Toll Logistics</x:v>
      </x:c>
      <x:c r="P51" t="str">
        <x:v>Pending</x:v>
      </x:c>
      <x:c r="Q51" t="n">
        <x:f>G51*I51</x:f>
        <x:v>2520</x:v>
      </x:c>
      <x:c r="R51" t="n">
        <x:f>G51-H51</x:f>
        <x:v>0</x:v>
      </x:c>
      <x:c r="S51" t="n">
        <x:f>MAX(0,L51-K51)</x:f>
        <x:v>0</x:v>
      </x:c>
      <x:c r="T51" t="str">
        <x:f>IF(AND(M51&lt;&gt;"Received",L51&lt;TODAY()),"Delayed",IF(S51&gt;0,"ETA Changed","On Track"))</x:f>
        <x:v>On Track</x:v>
      </x:c>
      <x:c r="U51" t="str">
        <x:f>TEXT(J51,"mmm-yyyy")</x:f>
        <x:v>May-2026</x:v>
      </x:c>
    </x:row>
    <x:row r="52">
      <x:c r="A52" t="str">
        <x:v>PO1051</x:v>
      </x:c>
      <x:c r="B52" t="str">
        <x:v>Auckland Active Brands</x:v>
      </x:c>
      <x:c r="C52" t="str">
        <x:v>SKU1004</x:v>
      </x:c>
      <x:c r="D52" t="str">
        <x:v>Merino Socks</x:v>
      </x:c>
      <x:c r="E52" t="str">
        <x:v>Feetures</x:v>
      </x:c>
      <x:c r="F52" t="str">
        <x:v>Apparel</x:v>
      </x:c>
      <x:c r="G52" t="n">
        <x:v>150</x:v>
      </x:c>
      <x:c r="H52" t="n">
        <x:v>0</x:v>
      </x:c>
      <x:c r="I52" t="n">
        <x:v>8.4</x:v>
      </x:c>
      <x:c r="J52" t="n">
        <x:v>46172</x:v>
      </x:c>
      <x:c r="K52" t="n">
        <x:v>46200</x:v>
      </x:c>
      <x:c r="L52" t="n">
        <x:v>46204</x:v>
      </x:c>
      <x:c r="M52" t="str">
        <x:v>Open</x:v>
      </x:c>
      <x:c r="N52" t="str">
        <x:v>New Zealand</x:v>
      </x:c>
      <x:c r="O52" t="str">
        <x:v>Mainfreight</x:v>
      </x:c>
      <x:c r="P52" t="str">
        <x:v>Confirmed</x:v>
      </x:c>
      <x:c r="Q52" t="n">
        <x:f>G52*I52</x:f>
        <x:v>1260</x:v>
      </x:c>
      <x:c r="R52" t="n">
        <x:f>G52-H52</x:f>
        <x:v>150</x:v>
      </x:c>
      <x:c r="S52" t="n">
        <x:f>MAX(0,L52-K52)</x:f>
        <x:v>4</x:v>
      </x:c>
      <x:c r="T52" t="str">
        <x:f>IF(AND(M52&lt;&gt;"Received",L52&lt;TODAY()),"Delayed",IF(S52&gt;0,"ETA Changed","On Track"))</x:f>
        <x:v>ETA Changed</x:v>
      </x:c>
      <x:c r="U52" t="str">
        <x:f>TEXT(J52,"mmm-yyyy")</x:f>
        <x:v>May-2026</x:v>
      </x:c>
    </x:row>
    <x:row r="53">
      <x:c r="A53" t="str">
        <x:v>PO1052</x:v>
      </x:c>
      <x:c r="B53" t="str">
        <x:v>Pacific Outdoor Supply</x:v>
      </x:c>
      <x:c r="C53" t="str">
        <x:v>SKU1005</x:v>
      </x:c>
      <x:c r="D53" t="str">
        <x:v>Travel Blanket</x:v>
      </x:c>
      <x:c r="E53" t="str">
        <x:v>Rumpl</x:v>
      </x:c>
      <x:c r="F53" t="str">
        <x:v>Outdoor</x:v>
      </x:c>
      <x:c r="G53" t="n">
        <x:v>800</x:v>
      </x:c>
      <x:c r="H53" t="n">
        <x:v>0</x:v>
      </x:c>
      <x:c r="I53" t="n">
        <x:v>35.6</x:v>
      </x:c>
      <x:c r="J53" t="n">
        <x:v>46160</x:v>
      </x:c>
      <x:c r="K53" t="n">
        <x:v>46210</x:v>
      </x:c>
      <x:c r="L53" t="n">
        <x:v>46220</x:v>
      </x:c>
      <x:c r="M53" t="str">
        <x:v>Cancelled</x:v>
      </x:c>
      <x:c r="N53" t="str">
        <x:v>China</x:v>
      </x:c>
      <x:c r="O53" t="str">
        <x:v>DHL Global Forwarding</x:v>
      </x:c>
      <x:c r="P53" t="str">
        <x:v>Confirmed</x:v>
      </x:c>
      <x:c r="Q53" t="n">
        <x:f>G53*I53</x:f>
        <x:v>28480</x:v>
      </x:c>
      <x:c r="R53" t="n">
        <x:f>G53-H53</x:f>
        <x:v>800</x:v>
      </x:c>
      <x:c r="S53" t="n">
        <x:f>MAX(0,L53-K53)</x:f>
        <x:v>10</x:v>
      </x:c>
      <x:c r="T53" t="str">
        <x:f>IF(AND(M53&lt;&gt;"Received",L53&lt;TODAY()),"Delayed",IF(S53&gt;0,"ETA Changed","On Track"))</x:f>
        <x:v>ETA Changed</x:v>
      </x:c>
      <x:c r="U53" t="str">
        <x:f>TEXT(J53,"mmm-yyyy")</x:f>
        <x:v>May-2026</x:v>
      </x:c>
    </x:row>
    <x:row r="54">
      <x:c r="A54" t="str">
        <x:v>PO1053</x:v>
      </x:c>
      <x:c r="B54" t="str">
        <x:v>Pacific Outdoor Supply</x:v>
      </x:c>
      <x:c r="C54" t="str">
        <x:v>SKU1001</x:v>
      </x:c>
      <x:c r="D54" t="str">
        <x:v>Hydro Bottle 591ml</x:v>
      </x:c>
      <x:c r="E54" t="str">
        <x:v>Hydro Flask</x:v>
      </x:c>
      <x:c r="F54" t="str">
        <x:v>Drinkware</x:v>
      </x:c>
      <x:c r="G54" t="n">
        <x:v>80</x:v>
      </x:c>
      <x:c r="H54" t="n">
        <x:v>16</x:v>
      </x:c>
      <x:c r="I54" t="n">
        <x:v>18.5</x:v>
      </x:c>
      <x:c r="J54" t="n">
        <x:v>46159</x:v>
      </x:c>
      <x:c r="K54" t="n">
        <x:v>46186</x:v>
      </x:c>
      <x:c r="L54" t="n">
        <x:v>46190</x:v>
      </x:c>
      <x:c r="M54" t="str">
        <x:v>Open</x:v>
      </x:c>
      <x:c r="N54" t="str">
        <x:v>China</x:v>
      </x:c>
      <x:c r="O54" t="str">
        <x:v>DHL Global Forwarding</x:v>
      </x:c>
      <x:c r="P54" t="str">
        <x:v>Confirmed</x:v>
      </x:c>
      <x:c r="Q54" t="n">
        <x:f>G54*I54</x:f>
        <x:v>1480</x:v>
      </x:c>
      <x:c r="R54" t="n">
        <x:f>G54-H54</x:f>
        <x:v>64</x:v>
      </x:c>
      <x:c r="S54" t="n">
        <x:f>MAX(0,L54-K54)</x:f>
        <x:v>4</x:v>
      </x:c>
      <x:c r="T54" t="str">
        <x:f>IF(AND(M54&lt;&gt;"Received",L54&lt;TODAY()),"Delayed",IF(S54&gt;0,"ETA Changed","On Track"))</x:f>
        <x:v>Delayed</x:v>
      </x:c>
      <x:c r="U54" t="str">
        <x:f>TEXT(J54,"mmm-yyyy")</x:f>
        <x:v>May-2026</x:v>
      </x:c>
    </x:row>
    <x:row r="55">
      <x:c r="A55" t="str">
        <x:v>PO1054</x:v>
      </x:c>
      <x:c r="B55" t="str">
        <x:v>Global Footwear Ltd</x:v>
      </x:c>
      <x:c r="C55" t="str">
        <x:v>SKU1006</x:v>
      </x:c>
      <x:c r="D55" t="str">
        <x:v>Compact Binoculars</x:v>
      </x:c>
      <x:c r="E55" t="str">
        <x:v>Nocs</x:v>
      </x:c>
      <x:c r="F55" t="str">
        <x:v>Outdoor</x:v>
      </x:c>
      <x:c r="G55" t="n">
        <x:v>300</x:v>
      </x:c>
      <x:c r="H55" t="n">
        <x:v>300</x:v>
      </x:c>
      <x:c r="I55" t="n">
        <x:v>55.2</x:v>
      </x:c>
      <x:c r="J55" t="n">
        <x:v>46181</x:v>
      </x:c>
      <x:c r="K55" t="n">
        <x:v>46244</x:v>
      </x:c>
      <x:c r="L55" t="n">
        <x:v>46244</x:v>
      </x:c>
      <x:c r="M55" t="str">
        <x:v>Received</x:v>
      </x:c>
      <x:c r="N55" t="str">
        <x:v>Vietnam</x:v>
      </x:c>
      <x:c r="O55" t="str">
        <x:v>Maersk</x:v>
      </x:c>
      <x:c r="P55" t="str">
        <x:v>Confirmed</x:v>
      </x:c>
      <x:c r="Q55" t="n">
        <x:f>G55*I55</x:f>
        <x:v>16560</x:v>
      </x:c>
      <x:c r="R55" t="n">
        <x:f>G55-H55</x:f>
        <x:v>0</x:v>
      </x:c>
      <x:c r="S55" t="n">
        <x:f>MAX(0,L55-K55)</x:f>
        <x:v>0</x:v>
      </x:c>
      <x:c r="T55" t="str">
        <x:f>IF(AND(M55&lt;&gt;"Received",L55&lt;TODAY()),"Delayed",IF(S55&gt;0,"ETA Changed","On Track"))</x:f>
        <x:v>On Track</x:v>
      </x:c>
      <x:c r="U55" t="str">
        <x:f>TEXT(J55,"mmm-yyyy")</x:f>
        <x:v>Jun-2026</x:v>
      </x:c>
    </x:row>
    <x:row r="56">
      <x:c r="A56" t="str">
        <x:v>PO1055</x:v>
      </x:c>
      <x:c r="B56" t="str">
        <x:v>Lifestyle Accessories Co</x:v>
      </x:c>
      <x:c r="C56" t="str">
        <x:v>SKU1001</x:v>
      </x:c>
      <x:c r="D56" t="str">
        <x:v>Hydro Bottle 591ml</x:v>
      </x:c>
      <x:c r="E56" t="str">
        <x:v>Hydro Flask</x:v>
      </x:c>
      <x:c r="F56" t="str">
        <x:v>Drinkware</x:v>
      </x:c>
      <x:c r="G56" t="n">
        <x:v>250</x:v>
      </x:c>
      <x:c r="H56" t="n">
        <x:v>187</x:v>
      </x:c>
      <x:c r="I56" t="n">
        <x:v>18.5</x:v>
      </x:c>
      <x:c r="J56" t="n">
        <x:v>46170</x:v>
      </x:c>
      <x:c r="K56" t="n">
        <x:v>46195</x:v>
      </x:c>
      <x:c r="L56" t="n">
        <x:v>46197</x:v>
      </x:c>
      <x:c r="M56" t="str">
        <x:v>Part Received</x:v>
      </x:c>
      <x:c r="N56" t="str">
        <x:v>India</x:v>
      </x:c>
      <x:c r="O56" t="str">
        <x:v>Kuehne+Nagel</x:v>
      </x:c>
      <x:c r="P56" t="str">
        <x:v>Mismatch</x:v>
      </x:c>
      <x:c r="Q56" t="n">
        <x:f>G56*I56</x:f>
        <x:v>4625</x:v>
      </x:c>
      <x:c r="R56" t="n">
        <x:f>G56-H56</x:f>
        <x:v>63</x:v>
      </x:c>
      <x:c r="S56" t="n">
        <x:f>MAX(0,L56-K56)</x:f>
        <x:v>2</x:v>
      </x:c>
      <x:c r="T56" t="str">
        <x:f>IF(AND(M56&lt;&gt;"Received",L56&lt;TODAY()),"Delayed",IF(S56&gt;0,"ETA Changed","On Track"))</x:f>
        <x:v>ETA Changed</x:v>
      </x:c>
      <x:c r="U56" t="str">
        <x:f>TEXT(J56,"mmm-yyyy")</x:f>
        <x:v>May-2026</x:v>
      </x:c>
    </x:row>
    <x:row r="57">
      <x:c r="A57" t="str">
        <x:v>PO1056</x:v>
      </x:c>
      <x:c r="B57" t="str">
        <x:v>Sydney Lifestyle Imports</x:v>
      </x:c>
      <x:c r="C57" t="str">
        <x:v>SKU1010</x:v>
      </x:c>
      <x:c r="D57" t="str">
        <x:v>Running Crew Socks</x:v>
      </x:c>
      <x:c r="E57" t="str">
        <x:v>Feetures</x:v>
      </x:c>
      <x:c r="F57" t="str">
        <x:v>Apparel</x:v>
      </x:c>
      <x:c r="G57" t="n">
        <x:v>200</x:v>
      </x:c>
      <x:c r="H57" t="n">
        <x:v>150</x:v>
      </x:c>
      <x:c r="I57" t="n">
        <x:v>9.25</x:v>
      </x:c>
      <x:c r="J57" t="n">
        <x:v>46185</x:v>
      </x:c>
      <x:c r="K57" t="n">
        <x:v>46221</x:v>
      </x:c>
      <x:c r="L57" t="n">
        <x:v>46221</x:v>
      </x:c>
      <x:c r="M57" t="str">
        <x:v>Part Received</x:v>
      </x:c>
      <x:c r="N57" t="str">
        <x:v>Australia</x:v>
      </x:c>
      <x:c r="O57" t="str">
        <x:v>Toll Logistics</x:v>
      </x:c>
      <x:c r="P57" t="str">
        <x:v>Confirmed</x:v>
      </x:c>
      <x:c r="Q57" t="n">
        <x:f>G57*I57</x:f>
        <x:v>1850</x:v>
      </x:c>
      <x:c r="R57" t="n">
        <x:f>G57-H57</x:f>
        <x:v>50</x:v>
      </x:c>
      <x:c r="S57" t="n">
        <x:f>MAX(0,L57-K57)</x:f>
        <x:v>0</x:v>
      </x:c>
      <x:c r="T57" t="str">
        <x:f>IF(AND(M57&lt;&gt;"Received",L57&lt;TODAY()),"Delayed",IF(S57&gt;0,"ETA Changed","On Track"))</x:f>
        <x:v>On Track</x:v>
      </x:c>
      <x:c r="U57" t="str">
        <x:f>TEXT(J57,"mmm-yyyy")</x:f>
        <x:v>Jun-2026</x:v>
      </x:c>
    </x:row>
    <x:row r="58">
      <x:c r="A58" t="str">
        <x:v>PO1057</x:v>
      </x:c>
      <x:c r="B58" t="str">
        <x:v>Lifestyle Accessories Co</x:v>
      </x:c>
      <x:c r="C58" t="str">
        <x:v>SKU1007</x:v>
      </x:c>
      <x:c r="D58" t="str">
        <x:v>Canvas Tote</x:v>
      </x:c>
      <x:c r="E58" t="str">
        <x:v>Allbirds</x:v>
      </x:c>
      <x:c r="F58" t="str">
        <x:v>Accessories</x:v>
      </x:c>
      <x:c r="G58" t="n">
        <x:v>150</x:v>
      </x:c>
      <x:c r="H58" t="n">
        <x:v>75</x:v>
      </x:c>
      <x:c r="I58" t="n">
        <x:v>14.1</x:v>
      </x:c>
      <x:c r="J58" t="n">
        <x:v>46161</x:v>
      </x:c>
      <x:c r="K58" t="n">
        <x:v>46196</x:v>
      </x:c>
      <x:c r="L58" t="n">
        <x:v>46196</x:v>
      </x:c>
      <x:c r="M58" t="str">
        <x:v>Part Received</x:v>
      </x:c>
      <x:c r="N58" t="str">
        <x:v>India</x:v>
      </x:c>
      <x:c r="O58" t="str">
        <x:v>Kuehne+Nagel</x:v>
      </x:c>
      <x:c r="P58" t="str">
        <x:v>Confirmed</x:v>
      </x:c>
      <x:c r="Q58" t="n">
        <x:f>G58*I58</x:f>
        <x:v>2115</x:v>
      </x:c>
      <x:c r="R58" t="n">
        <x:f>G58-H58</x:f>
        <x:v>75</x:v>
      </x:c>
      <x:c r="S58" t="n">
        <x:f>MAX(0,L58-K58)</x:f>
        <x:v>0</x:v>
      </x:c>
      <x:c r="T58" t="str">
        <x:f>IF(AND(M58&lt;&gt;"Received",L58&lt;TODAY()),"Delayed",IF(S58&gt;0,"ETA Changed","On Track"))</x:f>
        <x:v>On Track</x:v>
      </x:c>
      <x:c r="U58" t="str">
        <x:f>TEXT(J58,"mmm-yyyy")</x:f>
        <x:v>May-2026</x:v>
      </x:c>
    </x:row>
    <x:row r="59">
      <x:c r="A59" t="str">
        <x:v>PO1058</x:v>
      </x:c>
      <x:c r="B59" t="str">
        <x:v>Summit Gear Manufacturing</x:v>
      </x:c>
      <x:c r="C59" t="str">
        <x:v>SKU1003</x:v>
      </x:c>
      <x:c r="D59" t="str">
        <x:v>Recovery Slide</x:v>
      </x:c>
      <x:c r="E59" t="str">
        <x:v>OOFOS</x:v>
      </x:c>
      <x:c r="F59" t="str">
        <x:v>Footwear</x:v>
      </x:c>
      <x:c r="G59" t="n">
        <x:v>500</x:v>
      </x:c>
      <x:c r="H59" t="n">
        <x:v>500</x:v>
      </x:c>
      <x:c r="I59" t="n">
        <x:v>42</x:v>
      </x:c>
      <x:c r="J59" t="n">
        <x:v>46179</x:v>
      </x:c>
      <x:c r="K59" t="n">
        <x:v>46223</x:v>
      </x:c>
      <x:c r="L59" t="n">
        <x:v>46233</x:v>
      </x:c>
      <x:c r="M59" t="str">
        <x:v>Received</x:v>
      </x:c>
      <x:c r="N59" t="str">
        <x:v>China</x:v>
      </x:c>
      <x:c r="O59" t="str">
        <x:v>DHL Global Forwarding</x:v>
      </x:c>
      <x:c r="P59" t="str">
        <x:v>Confirmed</x:v>
      </x:c>
      <x:c r="Q59" t="n">
        <x:f>G59*I59</x:f>
        <x:v>21000</x:v>
      </x:c>
      <x:c r="R59" t="n">
        <x:f>G59-H59</x:f>
        <x:v>0</x:v>
      </x:c>
      <x:c r="S59" t="n">
        <x:f>MAX(0,L59-K59)</x:f>
        <x:v>10</x:v>
      </x:c>
      <x:c r="T59" t="str">
        <x:f>IF(AND(M59&lt;&gt;"Received",L59&lt;TODAY()),"Delayed",IF(S59&gt;0,"ETA Changed","On Track"))</x:f>
        <x:v>ETA Changed</x:v>
      </x:c>
      <x:c r="U59" t="str">
        <x:f>TEXT(J59,"mmm-yyyy")</x:f>
        <x:v>Jun-2026</x:v>
      </x:c>
    </x:row>
    <x:row r="60">
      <x:c r="A60" t="str">
        <x:v>PO1059</x:v>
      </x:c>
      <x:c r="B60" t="str">
        <x:v>Global Footwear Ltd</x:v>
      </x:c>
      <x:c r="C60" t="str">
        <x:v>SKU1004</x:v>
      </x:c>
      <x:c r="D60" t="str">
        <x:v>Merino Socks</x:v>
      </x:c>
      <x:c r="E60" t="str">
        <x:v>Feetures</x:v>
      </x:c>
      <x:c r="F60" t="str">
        <x:v>Apparel</x:v>
      </x:c>
      <x:c r="G60" t="n">
        <x:v>400</x:v>
      </x:c>
      <x:c r="H60" t="n">
        <x:v>300</x:v>
      </x:c>
      <x:c r="I60" t="n">
        <x:v>8.4</x:v>
      </x:c>
      <x:c r="J60" t="n">
        <x:v>46180</x:v>
      </x:c>
      <x:c r="K60" t="n">
        <x:v>46212</x:v>
      </x:c>
      <x:c r="L60" t="n">
        <x:v>46219</x:v>
      </x:c>
      <x:c r="M60" t="str">
        <x:v>Part Received</x:v>
      </x:c>
      <x:c r="N60" t="str">
        <x:v>Vietnam</x:v>
      </x:c>
      <x:c r="O60" t="str">
        <x:v>Maersk</x:v>
      </x:c>
      <x:c r="P60" t="str">
        <x:v>Confirmed</x:v>
      </x:c>
      <x:c r="Q60" t="n">
        <x:f>G60*I60</x:f>
        <x:v>3360</x:v>
      </x:c>
      <x:c r="R60" t="n">
        <x:f>G60-H60</x:f>
        <x:v>100</x:v>
      </x:c>
      <x:c r="S60" t="n">
        <x:f>MAX(0,L60-K60)</x:f>
        <x:v>7</x:v>
      </x:c>
      <x:c r="T60" t="str">
        <x:f>IF(AND(M60&lt;&gt;"Received",L60&lt;TODAY()),"Delayed",IF(S60&gt;0,"ETA Changed","On Track"))</x:f>
        <x:v>ETA Changed</x:v>
      </x:c>
      <x:c r="U60" t="str">
        <x:f>TEXT(J60,"mmm-yyyy")</x:f>
        <x:v>Jun-2026</x:v>
      </x:c>
    </x:row>
    <x:row r="61">
      <x:c r="A61" t="str">
        <x:v>PO1060</x:v>
      </x:c>
      <x:c r="B61" t="str">
        <x:v>Lifestyle Accessories Co</x:v>
      </x:c>
      <x:c r="C61" t="str">
        <x:v>SKU1008</x:v>
      </x:c>
      <x:c r="D61" t="str">
        <x:v>Insulated Mug</x:v>
      </x:c>
      <x:c r="E61" t="str">
        <x:v>Hydro Flask</x:v>
      </x:c>
      <x:c r="F61" t="str">
        <x:v>Drinkware</x:v>
      </x:c>
      <x:c r="G61" t="n">
        <x:v>200</x:v>
      </x:c>
      <x:c r="H61" t="n">
        <x:v>150</x:v>
      </x:c>
      <x:c r="I61" t="n">
        <x:v>15.75</x:v>
      </x:c>
      <x:c r="J61" t="n">
        <x:v>46153</x:v>
      </x:c>
      <x:c r="K61" t="n">
        <x:v>46188</x:v>
      </x:c>
      <x:c r="L61" t="n">
        <x:v>46188</x:v>
      </x:c>
      <x:c r="M61" t="str">
        <x:v>Part Received</x:v>
      </x:c>
      <x:c r="N61" t="str">
        <x:v>India</x:v>
      </x:c>
      <x:c r="O61" t="str">
        <x:v>Kuehne+Nagel</x:v>
      </x:c>
      <x:c r="P61" t="str">
        <x:v>Confirmed</x:v>
      </x:c>
      <x:c r="Q61" t="n">
        <x:f>G61*I61</x:f>
        <x:v>3150</x:v>
      </x:c>
      <x:c r="R61" t="n">
        <x:f>G61-H61</x:f>
        <x:v>50</x:v>
      </x:c>
      <x:c r="S61" t="n">
        <x:f>MAX(0,L61-K61)</x:f>
        <x:v>0</x:v>
      </x:c>
      <x:c r="T61" t="str">
        <x:f>IF(AND(M61&lt;&gt;"Received",L61&lt;TODAY()),"Delayed",IF(S61&gt;0,"ETA Changed","On Track"))</x:f>
        <x:v>Delayed</x:v>
      </x:c>
      <x:c r="U61" t="str">
        <x:f>TEXT(J61,"mmm-yyyy")</x:f>
        <x:v>May-2026</x:v>
      </x:c>
    </x:row>
  </x:sheetData>
  <x:conditionalFormatting sqref="T2:T61">
    <x:cfRule type="expression" dxfId="0" priority="1">
      <x:formula>$T2="Delayed"</x:formula>
    </x:cfRule>
  </x:conditionalFormatting>
  <x:conditionalFormatting sqref="P2:P61">
    <x:cfRule type="expression" dxfId="1" priority="2">
      <x:formula>OR($P2="Pending",$P2="Mismatch")</x:formula>
    </x:cfRule>
  </x:conditionalFormatting>
  <x:conditionalFormatting sqref="S2:S61">
    <x:cfRule type="dataBar" priority="3">
      <x:dataBar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{274F93A1-5306-1BA4-9BD9-0E2BC2371B5D}</x14:id>
        </x:ext>
      </x:extLst>
    </x:cfRule>
  </x:conditionalFormatting>
  <x:dataValidations count="2">
    <x:dataValidation type="list" sqref="M2:M61">
      <x:formula1>"Open,Part Received,Received,Cancelled"</x:formula1>
    </x:dataValidation>
    <x:dataValidation type="list" sqref="P2:P61">
      <x:formula1>"Confirmed,Pending,Mismatch"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e3d389d8a4e3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74F93A1-5306-1BA4-9BD9-0E2BC2371B5D}">
            <x14:dataBar gradient="1">
              <x14:cfvo type="min"/>
              <x14:cfvo type="max"/>
              <x14:fillColor rgb="FF60A5FA"/>
            </x14:dataBar>
          </x14:cfRule>
          <xm:sqref>S2:S61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SKU</x:v>
      </x:c>
      <x:c r="B1" s="6" t="str">
        <x:v>Product</x:v>
      </x:c>
      <x:c r="C1" s="6" t="str">
        <x:v>Brand</x:v>
      </x:c>
      <x:c r="D1" s="6" t="str">
        <x:v>Category</x:v>
      </x:c>
      <x:c r="E1" s="14" t="str">
        <x:v>Unit Cost</x:v>
      </x:c>
      <x:c r="F1" s="6" t="str">
        <x:v>Reorder Point</x:v>
      </x:c>
      <x:c r="G1" s="6" t="str">
        <x:v>Lead Time Days</x:v>
      </x:c>
    </x:row>
    <x:row r="2">
      <x:c r="A2" t="str">
        <x:v>SKU1001</x:v>
      </x:c>
      <x:c r="B2" t="str">
        <x:v>Hydro Bottle 591ml</x:v>
      </x:c>
      <x:c r="C2" t="str">
        <x:v>Hydro Flask</x:v>
      </x:c>
      <x:c r="D2" t="str">
        <x:v>Drinkware</x:v>
      </x:c>
      <x:c r="E2" t="n">
        <x:v>18.5</x:v>
      </x:c>
      <x:c r="F2" t="n">
        <x:v>250</x:v>
      </x:c>
      <x:c r="G2" t="n">
        <x:v>30</x:v>
      </x:c>
    </x:row>
    <x:row r="3">
      <x:c r="A3" t="str">
        <x:v>SKU1002</x:v>
      </x:c>
      <x:c r="B3" t="str">
        <x:v>Trail Cap</x:v>
      </x:c>
      <x:c r="C3" t="str">
        <x:v>Cotopaxi</x:v>
      </x:c>
      <x:c r="D3" t="str">
        <x:v>Apparel</x:v>
      </x:c>
      <x:c r="E3" t="n">
        <x:v>12.75</x:v>
      </x:c>
      <x:c r="F3" t="n">
        <x:v>180</x:v>
      </x:c>
      <x:c r="G3" t="n">
        <x:v>35</x:v>
      </x:c>
    </x:row>
    <x:row r="4">
      <x:c r="A4" t="str">
        <x:v>SKU1003</x:v>
      </x:c>
      <x:c r="B4" t="str">
        <x:v>Recovery Slide</x:v>
      </x:c>
      <x:c r="C4" t="str">
        <x:v>OOFOS</x:v>
      </x:c>
      <x:c r="D4" t="str">
        <x:v>Footwear</x:v>
      </x:c>
      <x:c r="E4" t="n">
        <x:v>42</x:v>
      </x:c>
      <x:c r="F4" t="n">
        <x:v>120</x:v>
      </x:c>
      <x:c r="G4" t="n">
        <x:v>45</x:v>
      </x:c>
    </x:row>
    <x:row r="5">
      <x:c r="A5" t="str">
        <x:v>SKU1004</x:v>
      </x:c>
      <x:c r="B5" t="str">
        <x:v>Merino Socks</x:v>
      </x:c>
      <x:c r="C5" t="str">
        <x:v>Feetures</x:v>
      </x:c>
      <x:c r="D5" t="str">
        <x:v>Apparel</x:v>
      </x:c>
      <x:c r="E5" t="n">
        <x:v>8.4</x:v>
      </x:c>
      <x:c r="F5" t="n">
        <x:v>300</x:v>
      </x:c>
      <x:c r="G5" t="n">
        <x:v>28</x:v>
      </x:c>
    </x:row>
    <x:row r="6">
      <x:c r="A6" t="str">
        <x:v>SKU1005</x:v>
      </x:c>
      <x:c r="B6" t="str">
        <x:v>Travel Blanket</x:v>
      </x:c>
      <x:c r="C6" t="str">
        <x:v>Rumpl</x:v>
      </x:c>
      <x:c r="D6" t="str">
        <x:v>Outdoor</x:v>
      </x:c>
      <x:c r="E6" t="n">
        <x:v>35.6</x:v>
      </x:c>
      <x:c r="F6" t="n">
        <x:v>100</x:v>
      </x:c>
      <x:c r="G6" t="n">
        <x:v>50</x:v>
      </x:c>
    </x:row>
    <x:row r="7">
      <x:c r="A7" t="str">
        <x:v>SKU1006</x:v>
      </x:c>
      <x:c r="B7" t="str">
        <x:v>Compact Binoculars</x:v>
      </x:c>
      <x:c r="C7" t="str">
        <x:v>Nocs</x:v>
      </x:c>
      <x:c r="D7" t="str">
        <x:v>Outdoor</x:v>
      </x:c>
      <x:c r="E7" t="n">
        <x:v>55.2</x:v>
      </x:c>
      <x:c r="F7" t="n">
        <x:v>70</x:v>
      </x:c>
      <x:c r="G7" t="n">
        <x:v>60</x:v>
      </x:c>
    </x:row>
    <x:row r="8">
      <x:c r="A8" t="str">
        <x:v>SKU1007</x:v>
      </x:c>
      <x:c r="B8" t="str">
        <x:v>Canvas Tote</x:v>
      </x:c>
      <x:c r="C8" t="str">
        <x:v>Allbirds</x:v>
      </x:c>
      <x:c r="D8" t="str">
        <x:v>Accessories</x:v>
      </x:c>
      <x:c r="E8" t="n">
        <x:v>14.1</x:v>
      </x:c>
      <x:c r="F8" t="n">
        <x:v>200</x:v>
      </x:c>
      <x:c r="G8" t="n">
        <x:v>32</x:v>
      </x:c>
    </x:row>
    <x:row r="9">
      <x:c r="A9" t="str">
        <x:v>SKU1008</x:v>
      </x:c>
      <x:c r="B9" t="str">
        <x:v>Insulated Mug</x:v>
      </x:c>
      <x:c r="C9" t="str">
        <x:v>Hydro Flask</x:v>
      </x:c>
      <x:c r="D9" t="str">
        <x:v>Drinkware</x:v>
      </x:c>
      <x:c r="E9" t="n">
        <x:v>15.75</x:v>
      </x:c>
      <x:c r="F9" t="n">
        <x:v>220</x:v>
      </x:c>
      <x:c r="G9" t="n">
        <x:v>30</x:v>
      </x:c>
    </x:row>
    <x:row r="10">
      <x:c r="A10" t="str">
        <x:v>SKU1009</x:v>
      </x:c>
      <x:c r="B10" t="str">
        <x:v>Rain Jacket</x:v>
      </x:c>
      <x:c r="C10" t="str">
        <x:v>Cotopaxi</x:v>
      </x:c>
      <x:c r="D10" t="str">
        <x:v>Apparel</x:v>
      </x:c>
      <x:c r="E10" t="n">
        <x:v>68</x:v>
      </x:c>
      <x:c r="F10" t="n">
        <x:v>80</x:v>
      </x:c>
      <x:c r="G10" t="n">
        <x:v>55</x:v>
      </x:c>
    </x:row>
    <x:row r="11">
      <x:c r="A11" t="str">
        <x:v>SKU1010</x:v>
      </x:c>
      <x:c r="B11" t="str">
        <x:v>Running Crew Socks</x:v>
      </x:c>
      <x:c r="C11" t="str">
        <x:v>Feetures</x:v>
      </x:c>
      <x:c r="D11" t="str">
        <x:v>Apparel</x:v>
      </x:c>
      <x:c r="E11" t="n">
        <x:v>9.25</x:v>
      </x:c>
      <x:c r="F11" t="n">
        <x:v>260</x:v>
      </x:c>
      <x:c r="G11" t="n">
        <x:v>28</x:v>
      </x:c>
    </x:row>
    <x:row r="12">
      <x:c r="A12" t="str">
        <x:v>SKU1011</x:v>
      </x:c>
      <x:c r="B12" t="str">
        <x:v>Camp Pillow</x:v>
      </x:c>
      <x:c r="C12" t="str">
        <x:v>Rumpl</x:v>
      </x:c>
      <x:c r="D12" t="str">
        <x:v>Outdoor</x:v>
      </x:c>
      <x:c r="E12" t="n">
        <x:v>21.3</x:v>
      </x:c>
      <x:c r="F12" t="n">
        <x:v>130</x:v>
      </x:c>
      <x:c r="G12" t="n">
        <x:v>45</x:v>
      </x:c>
    </x:row>
    <x:row r="13">
      <x:c r="A13" t="str">
        <x:v>SKU1012</x:v>
      </x:c>
      <x:c r="B13" t="str">
        <x:v>Trail Shoe</x:v>
      </x:c>
      <x:c r="C13" t="str">
        <x:v>Allbirds</x:v>
      </x:c>
      <x:c r="D13" t="str">
        <x:v>Footwear</x:v>
      </x:c>
      <x:c r="E13" t="n">
        <x:v>52.9</x:v>
      </x:c>
      <x:c r="F13" t="n">
        <x:v>90</x:v>
      </x:c>
      <x:c r="G13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7db2b420037546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Supplier</x:v>
      </x:c>
      <x:c r="B1" s="6" t="str">
        <x:v>Country</x:v>
      </x:c>
      <x:c r="C1" s="6" t="str">
        <x:v>Freight Partner</x:v>
      </x:c>
      <x:c r="D1" s="6" t="str">
        <x:v>Payment Terms</x:v>
      </x:c>
      <x:c r="E1" s="6" t="str">
        <x:v>Supplier Rating</x:v>
      </x:c>
    </x:row>
    <x:row r="2">
      <x:c r="A2" t="str">
        <x:v>Pacific Outdoor Supply</x:v>
      </x:c>
      <x:c r="B2" t="str">
        <x:v>China</x:v>
      </x:c>
      <x:c r="C2" t="str">
        <x:v>DHL Global Forwarding</x:v>
      </x:c>
      <x:c r="D2" t="str">
        <x:v>30 days</x:v>
      </x:c>
      <x:c r="E2" t="str">
        <x:v>A</x:v>
      </x:c>
    </x:row>
    <x:row r="3">
      <x:c r="A3" t="str">
        <x:v>Auckland Active Brands</x:v>
      </x:c>
      <x:c r="B3" t="str">
        <x:v>New Zealand</x:v>
      </x:c>
      <x:c r="C3" t="str">
        <x:v>Mainfreight</x:v>
      </x:c>
      <x:c r="D3" t="str">
        <x:v>14 days</x:v>
      </x:c>
      <x:c r="E3" t="str">
        <x:v>A</x:v>
      </x:c>
    </x:row>
    <x:row r="4">
      <x:c r="A4" t="str">
        <x:v>Sydney Lifestyle Imports</x:v>
      </x:c>
      <x:c r="B4" t="str">
        <x:v>Australia</x:v>
      </x:c>
      <x:c r="C4" t="str">
        <x:v>Toll Logistics</x:v>
      </x:c>
      <x:c r="D4" t="str">
        <x:v>30 days</x:v>
      </x:c>
      <x:c r="E4" t="str">
        <x:v>B</x:v>
      </x:c>
    </x:row>
    <x:row r="5">
      <x:c r="A5" t="str">
        <x:v>Global Footwear Ltd</x:v>
      </x:c>
      <x:c r="B5" t="str">
        <x:v>Vietnam</x:v>
      </x:c>
      <x:c r="C5" t="str">
        <x:v>Maersk</x:v>
      </x:c>
      <x:c r="D5" t="str">
        <x:v>45 days</x:v>
      </x:c>
      <x:c r="E5" t="str">
        <x:v>B</x:v>
      </x:c>
    </x:row>
    <x:row r="6">
      <x:c r="A6" t="str">
        <x:v>Summit Gear Manufacturing</x:v>
      </x:c>
      <x:c r="B6" t="str">
        <x:v>China</x:v>
      </x:c>
      <x:c r="C6" t="str">
        <x:v>DHL Global Forwarding</x:v>
      </x:c>
      <x:c r="D6" t="str">
        <x:v>30 days</x:v>
      </x:c>
      <x:c r="E6" t="str">
        <x:v>C</x:v>
      </x:c>
    </x:row>
    <x:row r="7">
      <x:c r="A7" t="str">
        <x:v>Lifestyle Accessories Co</x:v>
      </x:c>
      <x:c r="B7" t="str">
        <x:v>India</x:v>
      </x:c>
      <x:c r="C7" t="str">
        <x:v>Kuehne+Nagel</x:v>
      </x:c>
      <x:c r="D7" t="str">
        <x:v>30 days</x:v>
      </x:c>
      <x:c r="E7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07853f5225d94c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Skill Area</x:v>
      </x:c>
      <x:c r="B1" s="6" t="str">
        <x:v>Practice Task</x:v>
      </x:c>
      <x:c r="C1" s="6" t="str">
        <x:v>Expected Excel Feature</x:v>
      </x:c>
    </x:row>
    <x:row r="2">
      <x:c r="A2" t="str">
        <x:v>Formula</x:v>
      </x:c>
      <x:c r="B2" t="str">
        <x:v>Calculate PO Value in column Q</x:v>
      </x:c>
      <x:c r="C2" t="str">
        <x:v>Multiplication</x:v>
      </x:c>
    </x:row>
    <x:row r="3">
      <x:c r="A3" t="str">
        <x:v>Formula</x:v>
      </x:c>
      <x:c r="B3" t="str">
        <x:v>Calculate Remaining Qty in column R</x:v>
      </x:c>
      <x:c r="C3" t="str">
        <x:v>Subtraction</x:v>
      </x:c>
    </x:row>
    <x:row r="4">
      <x:c r="A4" t="str">
        <x:v>Formula</x:v>
      </x:c>
      <x:c r="B4" t="str">
        <x:v>Calculate Delay Days using Original ETA vs Current ETA</x:v>
      </x:c>
      <x:c r="C4" t="str">
        <x:v>MAX + date calculation</x:v>
      </x:c>
    </x:row>
    <x:row r="5">
      <x:c r="A5" t="str">
        <x:v>Formula</x:v>
      </x:c>
      <x:c r="B5" t="str">
        <x:v>Create Delay Status: Delayed / ETA Changed / On Track</x:v>
      </x:c>
      <x:c r="C5" t="str">
        <x:v>IF + AND + TODAY</x:v>
      </x:c>
    </x:row>
    <x:row r="6">
      <x:c r="A6" t="str">
        <x:v>Lookup</x:v>
      </x:c>
      <x:c r="B6" t="str">
        <x:v>Use SKU to pull Product, Brand, Category and Unit Cost from Product_Master</x:v>
      </x:c>
      <x:c r="C6" t="str">
        <x:v>XLOOKUP</x:v>
      </x:c>
    </x:row>
    <x:row r="7">
      <x:c r="A7" t="str">
        <x:v>Lookup</x:v>
      </x:c>
      <x:c r="B7" t="str">
        <x:v>Use Supplier to pull Country and Freight Partner from Supplier_Master</x:v>
      </x:c>
      <x:c r="C7" t="str">
        <x:v>XLOOKUP</x:v>
      </x:c>
    </x:row>
    <x:row r="8">
      <x:c r="A8" t="str">
        <x:v>Summary</x:v>
      </x:c>
      <x:c r="B8" t="str">
        <x:v>Total PO Value by Supplier</x:v>
      </x:c>
      <x:c r="C8" t="str">
        <x:v>SUMIFS or Pivot Table</x:v>
      </x:c>
    </x:row>
    <x:row r="9">
      <x:c r="A9" t="str">
        <x:v>Summary</x:v>
      </x:c>
      <x:c r="B9" t="str">
        <x:v>Count Open POs by Supplier</x:v>
      </x:c>
      <x:c r="C9" t="str">
        <x:v>COUNTIFS or Pivot Table</x:v>
      </x:c>
    </x:row>
    <x:row r="10">
      <x:c r="A10" t="str">
        <x:v>Summary</x:v>
      </x:c>
      <x:c r="B10" t="str">
        <x:v>Total Remaining Qty by Brand</x:v>
      </x:c>
      <x:c r="C10" t="str">
        <x:v>SUMIFS or Pivot Table</x:v>
      </x:c>
    </x:row>
    <x:row r="11">
      <x:c r="A11" t="str">
        <x:v>Cleaning</x:v>
      </x:c>
      <x:c r="B11" t="str">
        <x:v>Find missing or mismatch supplier confirmations</x:v>
      </x:c>
      <x:c r="C11" t="str">
        <x:v>Filter + conditional formatting</x:v>
      </x:c>
    </x:row>
    <x:row r="12">
      <x:c r="A12" t="str">
        <x:v>Reporting</x:v>
      </x:c>
      <x:c r="B12" t="str">
        <x:v>Create a Pivot Table: Supplier in Rows, Status in Columns, PO Value in Values</x:v>
      </x:c>
      <x:c r="C12" t="str">
        <x:v>Pivot Table</x:v>
      </x:c>
    </x:row>
    <x:row r="13">
      <x:c r="A13" t="str">
        <x:v>Reporting</x:v>
      </x:c>
      <x:c r="B13" t="str">
        <x:v>Create a chart showing PO Value by Supplier</x:v>
      </x:c>
      <x:c r="C13" t="str">
        <x:v>Pivot chart / bar chart</x:v>
      </x:c>
    </x:row>
    <x:row r="14">
      <x:c r="A14" t="str">
        <x:v>Risk Analysis</x:v>
      </x:c>
      <x:c r="B14" t="str">
        <x:v>Identify top 5 delayed POs by Delay Days</x:v>
      </x:c>
      <x:c r="C14" t="str">
        <x:v>Sort + Filter</x:v>
      </x:c>
    </x:row>
    <x:row r="15">
      <x:c r="A15" t="str">
        <x:v>Inventory</x:v>
      </x:c>
      <x:c r="B15" t="str">
        <x:v>Highlight products where Remaining Qty is high and ETA is delayed</x:v>
      </x:c>
      <x:c r="C15" t="str">
        <x:v>Conditional formatting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" t="str">
        <x:v>Metric</x:v>
      </x:c>
      <x:c r="B1" s="16" t="str">
        <x:v>Formula / Answer Area</x:v>
      </x:c>
      <x:c r="D1" s="6" t="str">
        <x:v>Supplier</x:v>
      </x:c>
      <x:c r="E1" s="14" t="str">
        <x:v>Total PO Value</x:v>
      </x:c>
      <x:c r="F1" s="6" t="str">
        <x:v>Open PO Count</x:v>
      </x:c>
      <x:c r="G1" s="6" t="str">
        <x:v>Delayed PO Count</x:v>
      </x:c>
      <x:c r="H1" s="6" t="str">
        <x:v>Remaining Qty</x:v>
      </x:c>
    </x:row>
    <x:row r="2">
      <x:c r="A2" t="str">
        <x:v>Total PO Value</x:v>
      </x:c>
      <x:c r="B2" t="n">
        <x:f>SUM(PO_Data!Q2:Q61)</x:f>
        <x:v>846522.5</x:v>
      </x:c>
      <x:c r="D2" t="str">
        <x:v>Pacific Outdoor Supply</x:v>
      </x:c>
      <x:c r="E2" t="n">
        <x:f>SUMIFS(PO_Data!$Q:$Q,PO_Data!$B:$B,D2)</x:f>
        <x:v>321115</x:v>
      </x:c>
      <x:c r="F2" t="n">
        <x:f>COUNTIFS(PO_Data!$B:$B,D2,PO_Data!$M:$M,"Open")</x:f>
        <x:v>4</x:v>
      </x:c>
      <x:c r="G2" t="n">
        <x:f>COUNTIFS(PO_Data!$B:$B,D2,PO_Data!$T:$T,"Delayed")</x:f>
        <x:v>1</x:v>
      </x:c>
      <x:c r="H2" t="n">
        <x:f>SUMIFS(PO_Data!$R:$R,PO_Data!$B:$B,D2)</x:f>
        <x:v>2295</x:v>
      </x:c>
    </x:row>
    <x:row r="3">
      <x:c r="A3" t="str">
        <x:v>Total Open PO Value</x:v>
      </x:c>
      <x:c r="B3" t="n">
        <x:f>SUMIFS(PO_Data!Q2:Q61,PO_Data!M2:M61,"Open")</x:f>
        <x:v>213735</x:v>
      </x:c>
      <x:c r="D3" t="str">
        <x:v>Auckland Active Brands</x:v>
      </x:c>
      <x:c r="E3" t="n">
        <x:f>SUMIFS(PO_Data!$Q:$Q,PO_Data!$B:$B,D3)</x:f>
        <x:v>133589.5</x:v>
      </x:c>
      <x:c r="F3" t="n">
        <x:f>COUNTIFS(PO_Data!$B:$B,D3,PO_Data!$M:$M,"Open")</x:f>
        <x:v>5</x:v>
      </x:c>
      <x:c r="G3" t="n">
        <x:f>COUNTIFS(PO_Data!$B:$B,D3,PO_Data!$T:$T,"Delayed")</x:f>
        <x:v>0</x:v>
      </x:c>
      <x:c r="H3" t="n">
        <x:f>SUMIFS(PO_Data!$R:$R,PO_Data!$B:$B,D3)</x:f>
        <x:v>2525</x:v>
      </x:c>
    </x:row>
    <x:row r="4">
      <x:c r="A4" t="str">
        <x:v>Number of Delayed POs</x:v>
      </x:c>
      <x:c r="B4" t="n">
        <x:f>COUNTIF(PO_Data!T2:T61,"Delayed")</x:f>
        <x:v>4</x:v>
      </x:c>
      <x:c r="D4" t="str">
        <x:v>Sydney Lifestyle Imports</x:v>
      </x:c>
      <x:c r="E4" t="n">
        <x:f>SUMIFS(PO_Data!$Q:$Q,PO_Data!$B:$B,D4)</x:f>
        <x:v>95635.5</x:v>
      </x:c>
      <x:c r="F4" t="n">
        <x:f>COUNTIFS(PO_Data!$B:$B,D4,PO_Data!$M:$M,"Open")</x:f>
        <x:v>1</x:v>
      </x:c>
      <x:c r="G4" t="n">
        <x:f>COUNTIFS(PO_Data!$B:$B,D4,PO_Data!$T:$T,"Delayed")</x:f>
        <x:v>1</x:v>
      </x:c>
      <x:c r="H4" t="n">
        <x:f>SUMIFS(PO_Data!$R:$R,PO_Data!$B:$B,D4)</x:f>
        <x:v>1693</x:v>
      </x:c>
    </x:row>
    <x:row r="5">
      <x:c r="A5" t="str">
        <x:v>Number of Pending Confirmations</x:v>
      </x:c>
      <x:c r="B5" t="n">
        <x:f>COUNTIF(PO_Data!P2:P61,"Pending")</x:f>
        <x:v>12</x:v>
      </x:c>
      <x:c r="D5" t="str">
        <x:v>Global Footwear Ltd</x:v>
      </x:c>
      <x:c r="E5" t="n">
        <x:f>SUMIFS(PO_Data!$Q:$Q,PO_Data!$B:$B,D5)</x:f>
        <x:v>132405</x:v>
      </x:c>
      <x:c r="F5" t="n">
        <x:f>COUNTIFS(PO_Data!$B:$B,D5,PO_Data!$M:$M,"Open")</x:f>
        <x:v>2</x:v>
      </x:c>
      <x:c r="G5" t="n">
        <x:f>COUNTIFS(PO_Data!$B:$B,D5,PO_Data!$T:$T,"Delayed")</x:f>
        <x:v>0</x:v>
      </x:c>
      <x:c r="H5" t="n">
        <x:f>SUMIFS(PO_Data!$R:$R,PO_Data!$B:$B,D5)</x:f>
        <x:v>770</x:v>
      </x:c>
    </x:row>
    <x:row r="6">
      <x:c r="A6" t="str">
        <x:v>Number of Confirmation Mismatches</x:v>
      </x:c>
      <x:c r="B6" t="n">
        <x:f>COUNTIF(PO_Data!P2:P61,"Mismatch")</x:f>
        <x:v>9</x:v>
      </x:c>
      <x:c r="D6" t="str">
        <x:v>Summit Gear Manufacturing</x:v>
      </x:c>
      <x:c r="E6" t="n">
        <x:f>SUMIFS(PO_Data!$Q:$Q,PO_Data!$B:$B,D6)</x:f>
        <x:v>99482.5</x:v>
      </x:c>
      <x:c r="F6" t="n">
        <x:f>COUNTIFS(PO_Data!$B:$B,D6,PO_Data!$M:$M,"Open")</x:f>
        <x:v>6</x:v>
      </x:c>
      <x:c r="G6" t="n">
        <x:f>COUNTIFS(PO_Data!$B:$B,D6,PO_Data!$T:$T,"Delayed")</x:f>
        <x:v>1</x:v>
      </x:c>
      <x:c r="H6" t="n">
        <x:f>SUMIFS(PO_Data!$R:$R,PO_Data!$B:$B,D6)</x:f>
        <x:v>3325</x:v>
      </x:c>
    </x:row>
    <x:row r="7">
      <x:c r="A7" t="str">
        <x:v>Total Remaining Qty</x:v>
      </x:c>
      <x:c r="B7" t="n">
        <x:f>SUM(PO_Data!R2:R61)</x:f>
        <x:v>11821</x:v>
      </x:c>
      <x:c r="D7" t="str">
        <x:v>Lifestyle Accessories Co</x:v>
      </x:c>
      <x:c r="E7" t="n">
        <x:f>SUMIFS(PO_Data!$Q:$Q,PO_Data!$B:$B,D7)</x:f>
        <x:v>64295</x:v>
      </x:c>
      <x:c r="F7" t="n">
        <x:f>COUNTIFS(PO_Data!$B:$B,D7,PO_Data!$M:$M,"Open")</x:f>
        <x:v>1</x:v>
      </x:c>
      <x:c r="G7" t="n">
        <x:f>COUNTIFS(PO_Data!$B:$B,D7,PO_Data!$T:$T,"Delayed")</x:f>
        <x:v>1</x:v>
      </x:c>
      <x:c r="H7" t="n">
        <x:f>SUMIFS(PO_Data!$R:$R,PO_Data!$B:$B,D7)</x:f>
        <x:v>1213</x:v>
      </x:c>
    </x:row>
    <x:row r="8">
      <x:c r="A8" t="str">
        <x:v>Highest Delay Days</x:v>
      </x:c>
      <x:c r="B8" t="n">
        <x:f>MAX(PO_Data!S2:S61)</x:f>
        <x:v>14</x:v>
      </x:c>
    </x:row>
  </x:sheetData>
  <x:pageMargins left="0.7" right="0.7" top="0.75" bottom="0.75" header="0.3" footer="0.3"/>
  <x:drawing xmlns:r="http://schemas.openxmlformats.org/officeDocument/2006/relationships" r:id="Rea875eafa76c48eb"/>
  <x:tableParts count="1">
    <x:tablePart xmlns:r="http://schemas.openxmlformats.org/officeDocument/2006/relationships" r:id="R6c6c8a11a3314460"/>
  </x:tableParts>
</x:worksheet>
</file>